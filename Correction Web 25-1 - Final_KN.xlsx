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006879FB-6192-4DD0-B157-6CDBD95D8106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<sst xmlns="http://schemas.openxmlformats.org/spreadsheetml/2006/main" count="952" uniqueCount="403">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</sst>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I8" sqref="I8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66.645690105155012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20" zoomScale="115" zoomScaleNormal="115" workbookViewId="0">
      <selection activeCell="G32" sqref="G32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0.78281395348837213</v>
      </c>
      <c r="E16" s="40">
        <f ca="1">General!F58</f>
        <v>14.873465116279069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0.66508997182377072</v>
      </c>
      <c r="E17" s="40">
        <f ca="1">Components!F55</f>
        <v>7.9810796618852482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0.78250000000000008</v>
      </c>
      <c r="E18" s="40">
        <f ca="1">'Login Page'!F28</f>
        <v>2.3475000000000001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0.79375000000000018</v>
      </c>
      <c r="E19" s="40">
        <f ca="1">'Sign Up Page'!F34</f>
        <v>2.3812500000000005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0.54415584415584417</v>
      </c>
      <c r="E24" s="40">
        <f ca="1">'Profile Page'!F50</f>
        <v>2.1766233766233767</v>
      </c>
    </row>
    <row r="25" spans="2:8">
      <c r="B25" s="49" t="s">
        <v>22</v>
      </c>
      <c r="C25" s="40">
        <v>2</v>
      </c>
      <c r="D25" s="41">
        <f t="shared" ca="1" si="0"/>
        <v>0.94500000000000006</v>
      </c>
      <c r="E25" s="40">
        <f ca="1">'Create Playlist Page'!F27</f>
        <v>1.8900000000000001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0.4086206896551724</v>
      </c>
      <c r="E28" s="40">
        <f ca="1">'Settings Page'!F29</f>
        <v>1.6344827586206896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0.60269784172661856</v>
      </c>
      <c r="E32" s="40">
        <f ca="1">'Chat Page'!F45</f>
        <v>4.2188848920863302</v>
      </c>
    </row>
    <row r="33" spans="2:16">
      <c r="B33" s="49" t="s">
        <v>379</v>
      </c>
      <c r="C33" s="40">
        <v>5</v>
      </c>
      <c r="D33" s="41">
        <f t="shared" ca="1" si="0"/>
        <v>0.47230038022813686</v>
      </c>
      <c r="E33" s="40">
        <f ca="1">Live!F47</f>
        <v>2.3615019011406844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66.645690105155012</v>
      </c>
    </row>
    <row r="40" spans="2:16" ht="16.5" thickTop="1" thickBot="1">
      <c r="B40" s="202" t="s">
        <v>10</v>
      </c>
      <c r="C40" s="203"/>
      <c r="D40" s="205">
        <f ca="1">E39/C39</f>
        <v>0.66645690105155009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66.645690105155012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3" zoomScale="150" zoomScaleNormal="100" workbookViewId="0">
      <selection activeCell="B27" sqref="B27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9.3254651162790694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14.873465116279069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9" zoomScale="125" zoomScaleNormal="115" workbookViewId="0">
      <selection activeCell="R38" sqref="R38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3.6</v>
      </c>
      <c r="O10" s="120">
        <f t="shared" ca="1" si="1"/>
        <v>7.5937500000000005E-2</v>
      </c>
      <c r="Q10" s="144">
        <v>9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3</v>
      </c>
      <c r="F20" s="152">
        <f t="shared" ca="1" si="3"/>
        <v>9.959016393442624E-2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1.1130468750000002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3</v>
      </c>
      <c r="O33" s="23">
        <f ca="1">N33/4 * L33</f>
        <v>6.4285714285714293E-2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3</v>
      </c>
      <c r="O34" s="23">
        <f ca="1">N34/4 * L34</f>
        <v>9.6428571428571447E-2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3</v>
      </c>
      <c r="O35" s="23">
        <f ca="1">N35/4 * L35</f>
        <v>3.2142857142857147E-2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3</v>
      </c>
      <c r="O36" s="23">
        <f ca="1">N36/4 * L36</f>
        <v>3.2142857142857147E-2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0.22500000000000003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1.3380468750000003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5.743032786885248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6.6430327868852483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7.9810796618852482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I10" sqref="I1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2</v>
      </c>
      <c r="F16" s="65">
        <f t="shared" ca="1" si="1"/>
        <v>0.32142857142857145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3</v>
      </c>
      <c r="F20" s="65">
        <f t="shared" ca="1" si="1"/>
        <v>7.2321428571428578E-2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2.0812500000000003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2.3812500000000005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G14" sqref="G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4</v>
      </c>
      <c r="F11" s="65">
        <f t="shared" ca="1" si="1"/>
        <v>0.9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3</v>
      </c>
      <c r="F14" s="65">
        <f t="shared" ca="1" si="1"/>
        <v>0.20250000000000001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2.0475000000000003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2.3475000000000001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1"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1" zoomScale="130" zoomScaleNormal="130" workbookViewId="0">
      <selection activeCell="E23" sqref="E2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4</v>
      </c>
      <c r="F8" s="65">
        <f t="shared" ca="1" si="1"/>
        <v>9.350649350649351E-2</v>
      </c>
      <c r="H8" s="138">
        <v>7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3</v>
      </c>
      <c r="F13" s="65">
        <f t="shared" ca="1" si="2"/>
        <v>7.0129870129870125E-2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1.7766233766233768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2.1766233766233767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3</v>
      </c>
      <c r="F6" s="65">
        <f ca="1">E6/4*C6</f>
        <v>4.4999999999999998E-2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1.7400000000000002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1.8900000000000001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E8" sqref="E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G15" sqref="G1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1</v>
      </c>
      <c r="F8" s="65">
        <f t="shared" ref="F8:F17" ca="1" si="2">E8/4*C8</f>
        <v>0.15517241379310345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1</v>
      </c>
      <c r="F9" s="65">
        <f t="shared" ca="1" si="2"/>
        <v>0.15517241379310345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1</v>
      </c>
      <c r="F10" s="65">
        <f t="shared" ca="1" si="2"/>
        <v>0.15517241379310345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1</v>
      </c>
      <c r="F12" s="65">
        <f t="shared" ca="1" si="2"/>
        <v>6.2068965517241378E-2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1</v>
      </c>
      <c r="F13" s="65">
        <f ca="1">E13/4*C13</f>
        <v>6.2068965517241378E-2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1.3344827586206895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1.6344827586206896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B9" sqref="B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17" zoomScale="120" zoomScaleNormal="120" workbookViewId="0">
      <selection activeCell="H30" sqref="H30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3.6938848920863299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4.2188848920863302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9" zoomScale="120" zoomScaleNormal="120" workbookViewId="0">
      <selection activeCell="H10" sqref="H10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1.9865019011406846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2.3615019011406844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B4" sqref="B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J22" sqref="I22:J2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F18" sqref="F18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2025-07-05T08:26:26Z</dcterms:modified>
  <cp:category/>
  <cp:contentStatus/>
</cp:coreProperties>
</file>