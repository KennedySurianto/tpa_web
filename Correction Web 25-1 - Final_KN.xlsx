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2CE626A3-933C-443B-B2C9-6EA1A703779A}" xr6:coauthVersionLast="47" xr6:coauthVersionMax="47" xr10:uidLastSave="{00000000-0000-0000-0000-000000000000}"/>
  <bookViews>
    <workbookView xWindow="28680" yWindow="-120" windowWidth="29040" windowHeight="15720" tabRatio="77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<sst xmlns="http://schemas.openxmlformats.org/spreadsheetml/2006/main" count="952" uniqueCount="403">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</sst>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tabSelected="1" zoomScale="150" zoomScaleNormal="150" workbookViewId="0">
      <selection activeCell="H13" sqref="H13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56.890299570416744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3" zoomScale="115" zoomScaleNormal="115" workbookViewId="0">
      <selection activeCell="E27" sqref="E27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0.76723255813953484</v>
      </c>
      <c r="E16" s="40">
        <f ca="1">General!F58</f>
        <v>14.577418604651163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0.64632204149590178</v>
      </c>
      <c r="E17" s="40">
        <f ca="1">Components!F55</f>
        <v>7.7558644979508209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0.66250000000000009</v>
      </c>
      <c r="E19" s="40">
        <f ca="1">'Sign Up Page'!F34</f>
        <v>1.9875000000000003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0.56419294990723567</v>
      </c>
      <c r="E24" s="40">
        <f ca="1">'Profile Page'!F50</f>
        <v>2.2567717996289427</v>
      </c>
    </row>
    <row r="25" spans="2:8">
      <c r="B25" s="49" t="s">
        <v>22</v>
      </c>
      <c r="C25" s="40">
        <v>2</v>
      </c>
      <c r="D25" s="41">
        <f t="shared" ca="1" si="0"/>
        <v>0.87749999999999995</v>
      </c>
      <c r="E25" s="40">
        <f ca="1">'Create Playlist Page'!F27</f>
        <v>1.7549999999999999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0.83333333333333326</v>
      </c>
      <c r="E27" s="40">
        <f ca="1">'Rich Text'!F10</f>
        <v>0.83333333333333326</v>
      </c>
    </row>
    <row r="28" spans="2:8">
      <c r="B28" s="49" t="s">
        <v>25</v>
      </c>
      <c r="C28" s="40">
        <v>4</v>
      </c>
      <c r="D28" s="41">
        <f t="shared" ca="1" si="0"/>
        <v>0.23017241379310346</v>
      </c>
      <c r="E28" s="40">
        <f ca="1">'Settings Page'!F29</f>
        <v>0.92068965517241386</v>
      </c>
    </row>
    <row r="29" spans="2:8">
      <c r="B29" s="49" t="s">
        <v>26</v>
      </c>
      <c r="C29" s="40">
        <v>1</v>
      </c>
      <c r="D29" s="41">
        <f t="shared" ca="1" si="0"/>
        <v>0</v>
      </c>
      <c r="E29" s="40">
        <f ca="1">Advertisement!F6</f>
        <v>0</v>
      </c>
    </row>
    <row r="30" spans="2:8">
      <c r="B30" s="49" t="s">
        <v>27</v>
      </c>
      <c r="C30" s="40">
        <v>5</v>
      </c>
      <c r="D30" s="41">
        <f t="shared" ca="1" si="0"/>
        <v>0.62187499999999996</v>
      </c>
      <c r="E30" s="40">
        <f ca="1">'Studio Upload Page'!F31</f>
        <v>3.109375</v>
      </c>
    </row>
    <row r="31" spans="2:8">
      <c r="B31" s="49" t="s">
        <v>28</v>
      </c>
      <c r="C31" s="40">
        <v>4</v>
      </c>
      <c r="D31" s="41">
        <f t="shared" ca="1" si="0"/>
        <v>0.45640243902439026</v>
      </c>
      <c r="E31" s="40">
        <f ca="1">'Studio Post Page'!F37</f>
        <v>1.825609756097561</v>
      </c>
    </row>
    <row r="32" spans="2:8">
      <c r="B32" s="49" t="s">
        <v>29</v>
      </c>
      <c r="C32" s="40">
        <v>7</v>
      </c>
      <c r="D32" s="41">
        <f t="shared" ca="1" si="0"/>
        <v>0.59622302158273366</v>
      </c>
      <c r="E32" s="40">
        <f ca="1">'Chat Page'!F45</f>
        <v>4.1735611510791353</v>
      </c>
    </row>
    <row r="33" spans="2:16">
      <c r="B33" s="49" t="s">
        <v>379</v>
      </c>
      <c r="C33" s="40">
        <v>5</v>
      </c>
      <c r="D33" s="41">
        <f t="shared" ca="1" si="0"/>
        <v>0</v>
      </c>
      <c r="E33" s="40">
        <f ca="1">Live!F47</f>
        <v>0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0.59750000000000014</v>
      </c>
      <c r="E34" s="40" cm="1">
        <f t="array" aca="1" ref="E34" ca="1">INDIRECT("'" &amp; $D$8 &amp; "'!A1")</f>
        <v>4.7800000000000011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56.890299570416744</v>
      </c>
    </row>
    <row r="40" spans="2:16" ht="16.5" thickTop="1" thickBot="1">
      <c r="B40" s="202" t="s">
        <v>10</v>
      </c>
      <c r="C40" s="203"/>
      <c r="D40" s="205">
        <f ca="1">E39/C39</f>
        <v>0.56890299570416747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56.890299570416744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10" zoomScale="150" zoomScaleNormal="100" workbookViewId="0">
      <selection activeCell="B19" sqref="B19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4</v>
      </c>
      <c r="F23" s="25">
        <f t="shared" ca="1" si="2"/>
        <v>0.88813953488372088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0</v>
      </c>
      <c r="F24" s="25">
        <f t="shared" ca="1" si="2"/>
        <v>0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9.0294186046511626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14.577418604651163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12" zoomScale="125" zoomScaleNormal="115" workbookViewId="0">
      <selection activeCell="I24" sqref="I24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4</v>
      </c>
      <c r="F15" s="23">
        <f t="shared" ca="1" si="3"/>
        <v>0.26557377049180331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4</v>
      </c>
      <c r="F24" s="23">
        <f t="shared" ca="1" si="5"/>
        <v>0.26557377049180331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1.0624218750000001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1.212421875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5.6434426229508201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6.5434426229508205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7.7558644979508209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21" zoomScale="160" zoomScaleNormal="160" workbookViewId="0">
      <selection activeCell="E17" sqref="E1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0</v>
      </c>
      <c r="F20" s="65">
        <f t="shared" ca="1" si="1"/>
        <v>0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1.6875000000000002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1.9875000000000003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B14" sqref="B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3" zoomScale="135" zoomScaleNormal="120" workbookViewId="0">
      <selection activeCell="J20" sqref="J20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H19" sqref="H1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25" zoomScale="130" zoomScaleNormal="130" workbookViewId="0">
      <selection activeCell="F35" sqref="F35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0</v>
      </c>
      <c r="F17" s="65">
        <f t="shared" ca="1" si="1"/>
        <v>0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4</v>
      </c>
      <c r="F19" s="79">
        <f t="shared" ca="1" si="1"/>
        <v>0.14025974025974025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4</v>
      </c>
      <c r="F30" s="79">
        <f t="shared" ca="1" si="1"/>
        <v>9.350649350649351E-2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0</v>
      </c>
      <c r="F34" s="163">
        <f t="shared" ca="1" si="1"/>
        <v>0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1.8567717996289428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2.2567717996289427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I20" sqref="I2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0</v>
      </c>
      <c r="F13" s="65">
        <f t="shared" ca="1" si="2"/>
        <v>0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1.605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1.7549999999999999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topLeftCell="A5" zoomScale="120" zoomScaleNormal="120" workbookViewId="0">
      <selection activeCell="H14" sqref="H14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F21" sqref="F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4</v>
      </c>
      <c r="F4" s="65">
        <f ca="1">E4/4*C4</f>
        <v>0.16666666666666666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4</v>
      </c>
      <c r="F5" s="65">
        <f t="shared" ref="F5:F9" ca="1" si="1">E5/4*C5</f>
        <v>0.16666666666666666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4</v>
      </c>
      <c r="F6" s="65">
        <f t="shared" ca="1" si="1"/>
        <v>0.16666666666666666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4</v>
      </c>
      <c r="F7" s="65">
        <f t="shared" ca="1" si="1"/>
        <v>0.16666666666666666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4</v>
      </c>
      <c r="F9" s="65">
        <f t="shared" ca="1" si="1"/>
        <v>0.16666666666666666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0.83333333333333326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E27" sqref="E2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0</v>
      </c>
      <c r="F8" s="65">
        <f t="shared" ref="F8:F17" ca="1" si="2">E8/4*C8</f>
        <v>0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0</v>
      </c>
      <c r="F9" s="65">
        <f t="shared" ca="1" si="2"/>
        <v>0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0</v>
      </c>
      <c r="F10" s="65">
        <f t="shared" ca="1" si="2"/>
        <v>0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2</v>
      </c>
      <c r="F11" s="65">
        <f t="shared" ca="1" si="2"/>
        <v>0.12413793103448276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4</v>
      </c>
      <c r="F12" s="65">
        <f t="shared" ca="1" si="2"/>
        <v>0.24827586206896551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0</v>
      </c>
      <c r="F14" s="65">
        <f t="shared" ca="1" si="2"/>
        <v>0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0.62068965517241381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3</v>
      </c>
      <c r="F22" s="25">
        <f ca="1">E22/4 * C22</f>
        <v>3.7500000000000006E-2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3</v>
      </c>
      <c r="F23" s="25">
        <f ca="1">E23/4 * C23</f>
        <v>7.5000000000000011E-2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3</v>
      </c>
      <c r="F24" s="25">
        <f ca="1">E24/4 * C24</f>
        <v>3.7500000000000006E-2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3</v>
      </c>
      <c r="F25" s="25">
        <f ca="1">E25/4 * C25</f>
        <v>7.5000000000000011E-2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3</v>
      </c>
      <c r="F26" s="25">
        <f ca="1">E26/4 * C26</f>
        <v>7.5000000000000011E-2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0.30000000000000004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0.92068965517241386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F17" sqref="F1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0</v>
      </c>
      <c r="F4" s="65">
        <f ca="1">E4/4*C4</f>
        <v>0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0</v>
      </c>
      <c r="F5" s="65">
        <f t="shared" ref="F5" ca="1" si="0">E5/4*C5</f>
        <v>0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0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9" zoomScale="120" zoomScaleNormal="120" workbookViewId="0">
      <selection activeCell="K20" sqref="K2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4</v>
      </c>
      <c r="F11" s="65">
        <f t="shared" ca="1" si="1"/>
        <v>0.125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4</v>
      </c>
      <c r="F13" s="65">
        <f t="shared" ca="1" si="1"/>
        <v>0.3125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1</v>
      </c>
      <c r="F14" s="65">
        <f t="shared" ca="1" si="1"/>
        <v>4.6875E-2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0</v>
      </c>
      <c r="F16" s="65">
        <f t="shared" ca="1" si="1"/>
        <v>0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0</v>
      </c>
      <c r="F17" s="65">
        <f t="shared" ca="1" si="1"/>
        <v>0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2.734375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3.109375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opLeftCell="A13" zoomScale="120" zoomScaleNormal="120" workbookViewId="0">
      <selection activeCell="H22" sqref="H22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4</v>
      </c>
      <c r="F6" s="65">
        <f ca="1">E6/4*C6</f>
        <v>4.3902439024390248E-2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4</v>
      </c>
      <c r="F7" s="65">
        <f ca="1">E7/4*C7</f>
        <v>4.3902439024390248E-2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4</v>
      </c>
      <c r="F8" s="65">
        <f t="shared" ref="F8:F25" ca="1" si="1">E8/4*C8</f>
        <v>0.13170731707317074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3</v>
      </c>
      <c r="F9" s="65">
        <f t="shared" ca="1" si="1"/>
        <v>0.16463414634146342</v>
      </c>
      <c r="H9" s="138">
        <v>9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0</v>
      </c>
      <c r="F10" s="65">
        <f t="shared" ca="1" si="1"/>
        <v>0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0</v>
      </c>
      <c r="F11" s="65">
        <f t="shared" ca="1" si="1"/>
        <v>0</v>
      </c>
      <c r="H11" s="138">
        <v>0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0</v>
      </c>
      <c r="F12" s="65">
        <f t="shared" ca="1" si="1"/>
        <v>0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0</v>
      </c>
      <c r="F13" s="65">
        <f t="shared" ca="1" si="1"/>
        <v>0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4</v>
      </c>
      <c r="F14" s="65">
        <f t="shared" ca="1" si="1"/>
        <v>0.26341463414634148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0</v>
      </c>
      <c r="F15" s="65">
        <f t="shared" ca="1" si="1"/>
        <v>0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4</v>
      </c>
      <c r="F16" s="65">
        <f t="shared" ca="1" si="1"/>
        <v>0.13170731707317074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4</v>
      </c>
      <c r="F17" s="65">
        <f t="shared" ca="1" si="1"/>
        <v>0.13170731707317074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4</v>
      </c>
      <c r="F20" s="65">
        <f t="shared" ca="1" si="1"/>
        <v>0.13170731707317074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4</v>
      </c>
      <c r="F21" s="65">
        <f t="shared" ca="1" si="1"/>
        <v>0.13170731707317074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4</v>
      </c>
      <c r="F22" s="65">
        <f t="shared" ca="1" si="1"/>
        <v>8.7804878048780496E-2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4</v>
      </c>
      <c r="F23" s="65">
        <f t="shared" ca="1" si="1"/>
        <v>0.26341463414634148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1.525609756097561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3</v>
      </c>
      <c r="F30" s="25">
        <f ca="1">E30/4 * C30</f>
        <v>4.4999999999999998E-2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3</v>
      </c>
      <c r="F31" s="25">
        <f ca="1">E31/4 * C31</f>
        <v>3.0000000000000006E-2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3</v>
      </c>
      <c r="F32" s="25">
        <f ca="1">E32/4 * C32</f>
        <v>4.4999999999999998E-2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3</v>
      </c>
      <c r="F33" s="25">
        <f ca="1">E33/4 * C33</f>
        <v>0.09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3</v>
      </c>
      <c r="F34" s="25">
        <f ca="1">E34/4 * C34</f>
        <v>0.09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0.30000000000000004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1.825609756097561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5" zoomScale="120" zoomScaleNormal="120" workbookViewId="0">
      <selection activeCell="L11" sqref="L11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0.8</v>
      </c>
      <c r="F29" s="65">
        <f t="shared" ca="1" si="1"/>
        <v>4.5323741007194246E-2</v>
      </c>
      <c r="H29" s="135">
        <v>1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3.6485611510791354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4.1735611510791353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zoomScale="120" zoomScaleNormal="120" workbookViewId="0">
      <selection activeCell="I33" sqref="I3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0</v>
      </c>
      <c r="F7" s="65">
        <f ca="1">E7/4*C7</f>
        <v>0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0</v>
      </c>
      <c r="F8" s="65">
        <f t="shared" ref="F8:F36" ca="1" si="0">E8/4*C8</f>
        <v>0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0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0</v>
      </c>
      <c r="F41" s="25">
        <f ca="1">E41/4 * C41</f>
        <v>0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0</v>
      </c>
      <c r="F42" s="25">
        <f ca="1">E42/4 * C42</f>
        <v>0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0</v>
      </c>
      <c r="F43" s="25">
        <f ca="1">E43/4 * C43</f>
        <v>0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0</v>
      </c>
      <c r="F44" s="25">
        <f ca="1">E44/4 * C44</f>
        <v>0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L26" sqref="L2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G15" sqref="G15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4.7800000000000011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0</v>
      </c>
      <c r="F4" s="65">
        <f ca="1">E4/4*C4</f>
        <v>0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1</v>
      </c>
      <c r="F5" s="65">
        <f t="shared" ref="F5:F11" ca="1" si="1">E5/4*C5</f>
        <v>0.3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0</v>
      </c>
      <c r="F6" s="65">
        <f t="shared" ca="1" si="1"/>
        <v>0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0</v>
      </c>
      <c r="F9" s="65">
        <f t="shared" ca="1" si="1"/>
        <v>0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4.7800000000000011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E8" sqref="E8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2025-07-02T09:35:24Z</dcterms:modified>
  <cp:category/>
  <cp:contentStatus/>
</cp:coreProperties>
</file>