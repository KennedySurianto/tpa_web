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7367CF65-79E7-439E-88ED-EFF2461BB320}" xr6:coauthVersionLast="47" xr6:coauthVersionMax="47" xr10:uidLastSave="{00000000-0000-0000-0000-000000000000}"/>
  <bookViews>
    <workbookView xWindow="-120" yWindow="-120" windowWidth="29040" windowHeight="15720" tabRatio="772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Q10" i="3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<sst xmlns="http://schemas.openxmlformats.org/spreadsheetml/2006/main" count="952" uniqueCount="403">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</sst>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tabSelected="1" zoomScale="150" zoomScaleNormal="150" workbookViewId="0">
      <selection activeCell="D15" sqref="D15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61.675258139605496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13" zoomScale="115" zoomScaleNormal="115" workbookViewId="0">
      <selection activeCell="E27" sqref="E27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0.64632204149590178</v>
      </c>
      <c r="E17" s="40">
        <f ca="1">Components!F55</f>
        <v>7.7558644979508209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0.41500000000000004</v>
      </c>
      <c r="E18" s="40">
        <f ca="1">'Login Page'!F28</f>
        <v>1.2450000000000001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0.69464285714285723</v>
      </c>
      <c r="E19" s="40">
        <f ca="1">'Sign Up Page'!F34</f>
        <v>2.0839285714285718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0.53497217068645642</v>
      </c>
      <c r="E24" s="40">
        <f ca="1">'Profile Page'!F50</f>
        <v>2.1398886827458257</v>
      </c>
    </row>
    <row r="25" spans="2:8">
      <c r="B25" s="49" t="s">
        <v>22</v>
      </c>
      <c r="C25" s="40">
        <v>2</v>
      </c>
      <c r="D25" s="41">
        <f t="shared" ca="1" si="0"/>
        <v>0.9375</v>
      </c>
      <c r="E25" s="40">
        <f ca="1">'Create Playlist Page'!F27</f>
        <v>1.875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0.32327586206896552</v>
      </c>
      <c r="E28" s="40">
        <f ca="1">'Settings Page'!F29</f>
        <v>1.2931034482758621</v>
      </c>
    </row>
    <row r="29" spans="2:8">
      <c r="B29" s="49" t="s">
        <v>26</v>
      </c>
      <c r="C29" s="40">
        <v>1</v>
      </c>
      <c r="D29" s="41">
        <f t="shared" ca="1" si="0"/>
        <v>0</v>
      </c>
      <c r="E29" s="40">
        <f ca="1">Advertisement!F6</f>
        <v>0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8.1844106463878324E-2</v>
      </c>
      <c r="E33" s="40">
        <f ca="1">Live!F47</f>
        <v>0.40922053231939165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61.675258139605496</v>
      </c>
    </row>
    <row r="40" spans="2:16" ht="16.5" thickTop="1" thickBot="1">
      <c r="B40" s="202" t="s">
        <v>10</v>
      </c>
      <c r="C40" s="203"/>
      <c r="D40" s="205">
        <f ca="1">E39/C39</f>
        <v>0.61675258139605493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61.675258139605496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10" zoomScale="150" zoomScaleNormal="100" workbookViewId="0">
      <selection activeCell="B30" sqref="B30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7" zoomScale="125" zoomScaleNormal="115" workbookViewId="0">
      <selection activeCell="B14" sqref="B14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1.2</v>
      </c>
      <c r="O10" s="120">
        <f t="shared" ca="1" si="1"/>
        <v>2.5312500000000002E-2</v>
      </c>
      <c r="Q10" s="144">
        <f>1+0+1+1+0</f>
        <v>3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0</v>
      </c>
      <c r="F20" s="152">
        <f t="shared" ca="1" si="3"/>
        <v>0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1.0624218750000001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2</v>
      </c>
      <c r="O33" s="23">
        <f ca="1">N33/4 * L33</f>
        <v>4.2857142857142864E-2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2</v>
      </c>
      <c r="O34" s="23">
        <f ca="1">N34/4 * L34</f>
        <v>6.4285714285714293E-2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2</v>
      </c>
      <c r="O35" s="23">
        <f ca="1">N35/4 * L35</f>
        <v>2.1428571428571432E-2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2</v>
      </c>
      <c r="O36" s="23">
        <f ca="1">N36/4 * L36</f>
        <v>2.1428571428571432E-2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0.15000000000000002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1.212421875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5.6434426229508201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6.5434426229508205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7.7558644979508209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opLeftCell="A9" zoomScale="160" zoomScaleNormal="160" workbookViewId="0">
      <selection activeCell="E21" sqref="E21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0</v>
      </c>
      <c r="F16" s="65">
        <f t="shared" ca="1" si="1"/>
        <v>0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4</v>
      </c>
      <c r="F20" s="65">
        <f t="shared" ca="1" si="1"/>
        <v>9.6428571428571433E-2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1.7839285714285718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2.0839285714285718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0</v>
      </c>
      <c r="F11" s="65">
        <f t="shared" ca="1" si="1"/>
        <v>0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0</v>
      </c>
      <c r="F14" s="65">
        <f t="shared" ca="1" si="1"/>
        <v>0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0.94500000000000006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1.2450000000000001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3" zoomScale="135" zoomScaleNormal="120" workbookViewId="0">
      <selection activeCell="J20" sqref="J2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14" zoomScale="130" zoomScaleNormal="130" workbookViewId="0">
      <selection activeCell="H33" sqref="H3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3.4285714285714284</v>
      </c>
      <c r="F8" s="65">
        <f t="shared" ca="1" si="1"/>
        <v>8.0148423005565864E-2</v>
      </c>
      <c r="H8" s="138">
        <v>6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2</v>
      </c>
      <c r="F13" s="65">
        <f t="shared" ca="1" si="2"/>
        <v>4.6753246753246755E-2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1.7398886827458258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2.1398886827458257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E14" sqref="E14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2</v>
      </c>
      <c r="F6" s="65">
        <f ca="1">E6/4*C6</f>
        <v>0.03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1.7250000000000001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1.875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H25" sqref="H2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H25" sqref="H2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0.99310344827586217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1.2931034482758621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B4" sqref="B4:B5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0</v>
      </c>
      <c r="F4" s="65">
        <f ca="1">E4/4*C4</f>
        <v>0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0</v>
      </c>
      <c r="F5" s="65">
        <f t="shared" ref="F5" ca="1" si="0">E5/4*C5</f>
        <v>0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0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K10" sqref="K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21" zoomScale="120" zoomScaleNormal="120" workbookViewId="0">
      <selection activeCell="B28" sqref="B2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5" zoomScale="120" zoomScaleNormal="120" workbookViewId="0">
      <selection activeCell="H15" sqref="H15:H2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0</v>
      </c>
      <c r="F14" s="65">
        <f t="shared" ca="1" si="0"/>
        <v>0</v>
      </c>
      <c r="H14" s="138">
        <v>0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0</v>
      </c>
      <c r="F16" s="65">
        <f t="shared" ca="1" si="0"/>
        <v>0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0</v>
      </c>
      <c r="F17" s="65">
        <f t="shared" ca="1" si="0"/>
        <v>0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0</v>
      </c>
      <c r="F19" s="65">
        <f t="shared" ca="1" si="0"/>
        <v>0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0</v>
      </c>
      <c r="F20" s="65">
        <f t="shared" ca="1" si="0"/>
        <v>0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0</v>
      </c>
      <c r="F21" s="65">
        <f t="shared" ca="1" si="0"/>
        <v>0</v>
      </c>
      <c r="H21" s="138">
        <v>0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0</v>
      </c>
      <c r="F22" s="65">
        <f t="shared" ca="1" si="0"/>
        <v>0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0</v>
      </c>
      <c r="F23" s="65">
        <f t="shared" ca="1" si="0"/>
        <v>0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0</v>
      </c>
      <c r="F24" s="65">
        <f t="shared" ca="1" si="0"/>
        <v>0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0</v>
      </c>
      <c r="F25" s="65">
        <f t="shared" ca="1" si="0"/>
        <v>0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0</v>
      </c>
      <c r="F28" s="65">
        <f t="shared" ca="1" si="0"/>
        <v>0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0</v>
      </c>
      <c r="F30" s="65">
        <f t="shared" ca="1" si="0"/>
        <v>0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0</v>
      </c>
      <c r="F31" s="65">
        <f t="shared" ca="1" si="0"/>
        <v>0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0</v>
      </c>
      <c r="F33" s="65">
        <f t="shared" ca="1" si="0"/>
        <v>0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0</v>
      </c>
      <c r="F34" s="65">
        <f t="shared" ca="1" si="0"/>
        <v>0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3.4220532319391636E-2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0.40922053231939165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L26" sqref="L2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B5" sqref="B5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I16" sqref="I16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2025-07-03T10:07:16Z</dcterms:modified>
  <cp:category/>
  <cp:contentStatus/>
</cp:coreProperties>
</file>