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4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!_TPA\Web\tpa_web\"/>
    </mc:Choice>
  </mc:AlternateContent>
  <xr:revisionPtr revIDLastSave="0" documentId="13_ncr:1_{B4C63213-82F7-4709-9B55-6519C070BBF6}" xr6:coauthVersionLast="47" xr6:coauthVersionMax="47" xr10:uidLastSave="{00000000-0000-0000-0000-000000000000}"/>
  <bookViews>
    <workbookView xWindow="28680" yWindow="-120" windowWidth="29040" windowHeight="15720" tabRatio="772" firstSheet="16" activeTab="25" xr2:uid="{00000000-000D-0000-FFFF-FFFF00000000}"/>
  </bookViews>
  <sheets>
    <sheet name="Result" sheetId="51" r:id="rId1"/>
    <sheet name="Master" sheetId="1" r:id="rId2"/>
    <sheet name="AI Groups" sheetId="47" r:id="rId3"/>
    <sheet name="General" sheetId="2" r:id="rId4"/>
    <sheet name="Components" sheetId="3" r:id="rId5"/>
    <sheet name="Sign Up Page" sheetId="5" r:id="rId6"/>
    <sheet name="Login Page" sheetId="4" r:id="rId7"/>
    <sheet name="Reset Password Page" sheetId="27" r:id="rId8"/>
    <sheet name="For You Page" sheetId="9" r:id="rId9"/>
    <sheet name="Following Page" sheetId="28" r:id="rId10"/>
    <sheet name="Friends Page" sheetId="29" r:id="rId11"/>
    <sheet name="Profile Page" sheetId="30" r:id="rId12"/>
    <sheet name="Create Playlist Page" sheetId="38" r:id="rId13"/>
    <sheet name="Search Page" sheetId="10" r:id="rId14"/>
    <sheet name="Rich Text" sheetId="39" r:id="rId15"/>
    <sheet name="Settings Page" sheetId="40" r:id="rId16"/>
    <sheet name="Advertisement" sheetId="37" r:id="rId17"/>
    <sheet name="Studio Upload Page" sheetId="34" r:id="rId18"/>
    <sheet name="Studio Post Page" sheetId="35" r:id="rId19"/>
    <sheet name="Chat Page" sheetId="36" r:id="rId20"/>
    <sheet name="Live" sheetId="52" r:id="rId21"/>
    <sheet name="AI Var 1 - SVilter" sheetId="26" r:id="rId22"/>
    <sheet name="AI Var 2 - SVign" sheetId="41" r:id="rId23"/>
    <sheet name="AI Var 3 - SaVe" sheetId="43" r:id="rId24"/>
    <sheet name="AI Var 4 - ShaVam" sheetId="44" r:id="rId25"/>
    <sheet name="AI Var 5 - SVideo Captions" sheetId="45" r:id="rId26"/>
    <sheet name="Web Knowledge" sheetId="48" r:id="rId27"/>
    <sheet name="Web Coding Skill" sheetId="49" r:id="rId28"/>
    <sheet name="AI Knowledge" sheetId="46" r:id="rId29"/>
    <sheet name="Live Coding" sheetId="50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3" roundtripDataChecksum="c/yHFh+T1qddzo5W8RhgmlSFAPBV3PYdTXt8eMZo9M4="/>
    </ext>
  </extLst>
</workbook>
</file>

<file path=xl/calcChain.xml><?xml version="1.0" encoding="utf-8"?>
<calcChain xmlns="http://schemas.openxmlformats.org/spreadsheetml/2006/main">
  <c r="E14" i="36" l="1"/>
  <c r="Q10" i="3"/>
  <c r="D8" i="1" a="1"/>
  <c r="D8" i="1" s="1"/>
  <c r="I4" i="50"/>
  <c r="D16" i="29"/>
  <c r="D39" i="30"/>
  <c r="D19" i="10"/>
  <c r="D28" i="10"/>
  <c r="D34" i="36"/>
  <c r="D26" i="35"/>
  <c r="D37" i="52"/>
  <c r="D18" i="40"/>
  <c r="D16" i="28"/>
  <c r="D25" i="38"/>
  <c r="D9" i="49"/>
  <c r="D6" i="37" l="1"/>
  <c r="B2" i="37" a="1"/>
  <c r="B2" i="37" s="1"/>
  <c r="F2" i="37" s="1"/>
  <c r="C4" i="37" s="1"/>
  <c r="E9" i="28"/>
  <c r="E10" i="3"/>
  <c r="D23" i="9"/>
  <c r="M29" i="3"/>
  <c r="D42" i="3"/>
  <c r="C16" i="9"/>
  <c r="D20" i="27"/>
  <c r="C5" i="37" l="1"/>
  <c r="C6" i="37" s="1"/>
  <c r="D17" i="4" l="1"/>
  <c r="D23" i="5"/>
  <c r="E8" i="5"/>
  <c r="D31" i="2"/>
  <c r="C4" i="52"/>
  <c r="C39" i="52"/>
  <c r="E22" i="52"/>
  <c r="E14" i="52"/>
  <c r="E10" i="52"/>
  <c r="E24" i="30"/>
  <c r="E12" i="30"/>
  <c r="D45" i="52"/>
  <c r="B2" i="52" a="1"/>
  <c r="B2" i="52" s="1"/>
  <c r="F2" i="52" s="1"/>
  <c r="F4" i="52" l="1"/>
  <c r="F39" i="52"/>
  <c r="C35" i="52" l="1"/>
  <c r="F35" i="52" s="1"/>
  <c r="C36" i="52"/>
  <c r="F36" i="52" s="1"/>
  <c r="C13" i="52"/>
  <c r="F13" i="52" s="1"/>
  <c r="C7" i="52"/>
  <c r="C8" i="52"/>
  <c r="F8" i="52" s="1"/>
  <c r="C22" i="52"/>
  <c r="F22" i="52" s="1"/>
  <c r="C34" i="52"/>
  <c r="F34" i="52" s="1"/>
  <c r="C9" i="52"/>
  <c r="F9" i="52" s="1"/>
  <c r="C23" i="52"/>
  <c r="F23" i="52" s="1"/>
  <c r="C10" i="52"/>
  <c r="F10" i="52" s="1"/>
  <c r="C24" i="52"/>
  <c r="F24" i="52" s="1"/>
  <c r="C25" i="52"/>
  <c r="F25" i="52" s="1"/>
  <c r="C26" i="52"/>
  <c r="F26" i="52" s="1"/>
  <c r="C28" i="52"/>
  <c r="C29" i="52"/>
  <c r="F29" i="52" s="1"/>
  <c r="C30" i="52"/>
  <c r="F30" i="52" s="1"/>
  <c r="C31" i="52"/>
  <c r="F31" i="52" s="1"/>
  <c r="C20" i="52"/>
  <c r="F20" i="52" s="1"/>
  <c r="C32" i="52"/>
  <c r="F32" i="52" s="1"/>
  <c r="C21" i="52"/>
  <c r="F21" i="52" s="1"/>
  <c r="C33" i="52"/>
  <c r="F33" i="52" s="1"/>
  <c r="C11" i="52"/>
  <c r="F11" i="52" s="1"/>
  <c r="C14" i="52"/>
  <c r="C15" i="52"/>
  <c r="F15" i="52" s="1"/>
  <c r="C16" i="52"/>
  <c r="F16" i="52" s="1"/>
  <c r="C17" i="52"/>
  <c r="F17" i="52" s="1"/>
  <c r="C18" i="52"/>
  <c r="F18" i="52" s="1"/>
  <c r="C19" i="52"/>
  <c r="F19" i="52" s="1"/>
  <c r="C44" i="52"/>
  <c r="F44" i="52" s="1"/>
  <c r="C43" i="52"/>
  <c r="F43" i="52" s="1"/>
  <c r="C42" i="52"/>
  <c r="F42" i="52" s="1"/>
  <c r="C41" i="52"/>
  <c r="C37" i="52" l="1"/>
  <c r="F28" i="52"/>
  <c r="F14" i="52"/>
  <c r="F7" i="52"/>
  <c r="C45" i="52"/>
  <c r="F41" i="52"/>
  <c r="F45" i="52" s="1"/>
  <c r="F37" i="52" l="1"/>
  <c r="F47" i="52" s="1"/>
  <c r="E33" i="1" s="1"/>
  <c r="D33" i="1" s="1"/>
  <c r="D45" i="2"/>
  <c r="E8" i="48"/>
  <c r="C4" i="38"/>
  <c r="C7" i="3"/>
  <c r="C44" i="3"/>
  <c r="E8" i="46" l="1"/>
  <c r="D13" i="45"/>
  <c r="D10" i="44"/>
  <c r="D13" i="43"/>
  <c r="D14" i="41"/>
  <c r="D10" i="26"/>
  <c r="B2" i="2" a="1"/>
  <c r="B2" i="2" s="1"/>
  <c r="E8" i="4"/>
  <c r="B2" i="3" a="1"/>
  <c r="B2" i="3" s="1"/>
  <c r="F2" i="3" s="1"/>
  <c r="F5" i="3" s="1"/>
  <c r="C34" i="1"/>
  <c r="C16" i="1" s="1"/>
  <c r="B2" i="45" a="1"/>
  <c r="B2" i="45" s="1"/>
  <c r="F2" i="45" s="1"/>
  <c r="B2" i="44" a="1"/>
  <c r="B2" i="44" s="1"/>
  <c r="F2" i="44" s="1"/>
  <c r="B2" i="43" a="1"/>
  <c r="B2" i="43" s="1"/>
  <c r="B2" i="41" a="1"/>
  <c r="B2" i="41" s="1"/>
  <c r="F2" i="41" s="1"/>
  <c r="C4" i="41" s="1"/>
  <c r="B2" i="26" a="1"/>
  <c r="B2" i="26" s="1"/>
  <c r="F2" i="26" s="1"/>
  <c r="B2" i="36" a="1"/>
  <c r="B2" i="36" s="1"/>
  <c r="B2" i="35" a="1"/>
  <c r="B2" i="35" s="1"/>
  <c r="B2" i="34" a="1"/>
  <c r="B2" i="34" s="1"/>
  <c r="B2" i="40" a="1"/>
  <c r="B2" i="40" s="1"/>
  <c r="B2" i="39" a="1"/>
  <c r="B2" i="39" s="1"/>
  <c r="F2" i="39" s="1"/>
  <c r="B2" i="10" a="1"/>
  <c r="B2" i="10" s="1"/>
  <c r="B2" i="38" a="1"/>
  <c r="B2" i="38" s="1"/>
  <c r="B2" i="30" a="1"/>
  <c r="B2" i="30" s="1"/>
  <c r="B2" i="29" a="1"/>
  <c r="B2" i="29" s="1"/>
  <c r="B2" i="28" a="1"/>
  <c r="B2" i="28" s="1"/>
  <c r="B2" i="9" a="1"/>
  <c r="B2" i="9" s="1"/>
  <c r="B2" i="27" a="1"/>
  <c r="B2" i="27" s="1"/>
  <c r="B2" i="5" a="1"/>
  <c r="B2" i="5" s="1"/>
  <c r="B2" i="4" a="1"/>
  <c r="B2" i="4" s="1"/>
  <c r="F2" i="4" s="1"/>
  <c r="C4" i="26" l="1"/>
  <c r="F4" i="26" s="1"/>
  <c r="F2" i="2"/>
  <c r="F47" i="2" s="1"/>
  <c r="C4" i="45"/>
  <c r="C4" i="44"/>
  <c r="C39" i="1"/>
  <c r="F2" i="35"/>
  <c r="F2" i="36"/>
  <c r="F2" i="34"/>
  <c r="C9" i="26"/>
  <c r="C8" i="26"/>
  <c r="C7" i="26"/>
  <c r="C6" i="26"/>
  <c r="C5" i="26"/>
  <c r="F2" i="40"/>
  <c r="F2" i="10"/>
  <c r="F2" i="38"/>
  <c r="C12" i="41"/>
  <c r="C10" i="41"/>
  <c r="C13" i="41"/>
  <c r="C11" i="41"/>
  <c r="C9" i="41"/>
  <c r="C8" i="41"/>
  <c r="C7" i="41"/>
  <c r="C6" i="41"/>
  <c r="C5" i="41"/>
  <c r="F2" i="30"/>
  <c r="F2" i="43"/>
  <c r="C9" i="44"/>
  <c r="C8" i="44"/>
  <c r="C7" i="44"/>
  <c r="C6" i="44"/>
  <c r="C5" i="44"/>
  <c r="F2" i="29"/>
  <c r="F2" i="28"/>
  <c r="C12" i="45"/>
  <c r="C11" i="45"/>
  <c r="C10" i="45"/>
  <c r="C9" i="45"/>
  <c r="C8" i="45"/>
  <c r="C7" i="45"/>
  <c r="C6" i="45"/>
  <c r="C5" i="45"/>
  <c r="F2" i="9"/>
  <c r="F16" i="9" s="1"/>
  <c r="C19" i="9" s="1"/>
  <c r="F19" i="9" s="1"/>
  <c r="F2" i="27"/>
  <c r="F2" i="5"/>
  <c r="O5" i="3"/>
  <c r="F4" i="41"/>
  <c r="F5" i="37" l="1"/>
  <c r="C21" i="9"/>
  <c r="F21" i="9" s="1"/>
  <c r="C22" i="9"/>
  <c r="F22" i="9" s="1"/>
  <c r="C18" i="9"/>
  <c r="C20" i="9"/>
  <c r="F20" i="9" s="1"/>
  <c r="F33" i="2"/>
  <c r="F4" i="2"/>
  <c r="C13" i="45"/>
  <c r="C10" i="44"/>
  <c r="C14" i="41"/>
  <c r="F4" i="38"/>
  <c r="C4" i="43"/>
  <c r="C5" i="43"/>
  <c r="C6" i="43"/>
  <c r="C7" i="43"/>
  <c r="C9" i="43"/>
  <c r="C8" i="43"/>
  <c r="C10" i="43"/>
  <c r="C11" i="43"/>
  <c r="C12" i="43"/>
  <c r="C28" i="2" l="1"/>
  <c r="F28" i="2" s="1"/>
  <c r="C29" i="2"/>
  <c r="F29" i="2" s="1"/>
  <c r="C36" i="2"/>
  <c r="F36" i="2" s="1"/>
  <c r="C42" i="2"/>
  <c r="F42" i="2" s="1"/>
  <c r="F4" i="37"/>
  <c r="F6" i="37" s="1"/>
  <c r="E29" i="1" s="1"/>
  <c r="C23" i="9"/>
  <c r="F18" i="9"/>
  <c r="F23" i="9" s="1"/>
  <c r="C9" i="2"/>
  <c r="F9" i="2" s="1"/>
  <c r="C7" i="2"/>
  <c r="F7" i="2" s="1"/>
  <c r="C21" i="2"/>
  <c r="F21" i="2" s="1"/>
  <c r="C23" i="2"/>
  <c r="F23" i="2" s="1"/>
  <c r="C18" i="2"/>
  <c r="F18" i="2" s="1"/>
  <c r="C26" i="2"/>
  <c r="F26" i="2" s="1"/>
  <c r="C13" i="43"/>
  <c r="C10" i="26"/>
  <c r="C2" i="46" l="1" a="1"/>
  <c r="C2" i="46" s="1"/>
  <c r="G2" i="46" s="1"/>
  <c r="D5" i="50"/>
  <c r="B2" i="50" a="1"/>
  <c r="B2" i="50" s="1"/>
  <c r="F2" i="50" s="1"/>
  <c r="B2" i="49" a="1"/>
  <c r="B2" i="49" s="1"/>
  <c r="F2" i="49" s="1"/>
  <c r="C8" i="49" s="1"/>
  <c r="F8" i="49" s="1"/>
  <c r="C2" i="48" a="1"/>
  <c r="C2" i="48" s="1"/>
  <c r="G2" i="48" s="1"/>
  <c r="E29" i="36"/>
  <c r="E26" i="36"/>
  <c r="E9" i="36"/>
  <c r="D43" i="36"/>
  <c r="C36" i="36"/>
  <c r="F36" i="36" s="1"/>
  <c r="C4" i="36"/>
  <c r="F4" i="36" s="1"/>
  <c r="E11" i="35"/>
  <c r="E9" i="35"/>
  <c r="D35" i="35"/>
  <c r="C28" i="35"/>
  <c r="F28" i="35" s="1"/>
  <c r="C4" i="35"/>
  <c r="F4" i="35" s="1"/>
  <c r="D20" i="34"/>
  <c r="D29" i="34"/>
  <c r="C22" i="34"/>
  <c r="F22" i="34" s="1"/>
  <c r="C4" i="34"/>
  <c r="F4" i="34" s="1"/>
  <c r="D27" i="40"/>
  <c r="C20" i="40"/>
  <c r="F20" i="40" s="1"/>
  <c r="C4" i="40"/>
  <c r="F4" i="40" s="1"/>
  <c r="C32" i="36" l="1"/>
  <c r="F32" i="36" s="1"/>
  <c r="C33" i="36"/>
  <c r="F33" i="36" s="1"/>
  <c r="C24" i="35"/>
  <c r="F24" i="35" s="1"/>
  <c r="C25" i="35"/>
  <c r="F25" i="35" s="1"/>
  <c r="C16" i="40"/>
  <c r="F16" i="40" s="1"/>
  <c r="C17" i="40"/>
  <c r="F17" i="40" s="1"/>
  <c r="C7" i="35"/>
  <c r="F7" i="35" s="1"/>
  <c r="C7" i="34"/>
  <c r="F7" i="34" s="1"/>
  <c r="C18" i="36"/>
  <c r="F18" i="36" s="1"/>
  <c r="C19" i="36"/>
  <c r="F19" i="36" s="1"/>
  <c r="C21" i="36"/>
  <c r="F21" i="36" s="1"/>
  <c r="C22" i="36"/>
  <c r="F22" i="36" s="1"/>
  <c r="C7" i="40"/>
  <c r="F7" i="40" s="1"/>
  <c r="C6" i="49"/>
  <c r="C7" i="49"/>
  <c r="C4" i="49"/>
  <c r="C5" i="49"/>
  <c r="F8" i="44"/>
  <c r="F5" i="44"/>
  <c r="F7" i="44"/>
  <c r="F6" i="44"/>
  <c r="F9" i="44"/>
  <c r="C9" i="49" l="1"/>
  <c r="F4" i="44"/>
  <c r="F10" i="44" s="1"/>
  <c r="A1" i="44" s="1"/>
  <c r="F4" i="43"/>
  <c r="F9" i="43"/>
  <c r="F11" i="43"/>
  <c r="F6" i="43"/>
  <c r="F8" i="43"/>
  <c r="F7" i="43"/>
  <c r="F12" i="43"/>
  <c r="F10" i="43"/>
  <c r="F5" i="43"/>
  <c r="F5" i="41"/>
  <c r="F6" i="41"/>
  <c r="F7" i="41"/>
  <c r="F8" i="41"/>
  <c r="F9" i="41"/>
  <c r="F10" i="41"/>
  <c r="F12" i="41"/>
  <c r="F11" i="41"/>
  <c r="F13" i="41"/>
  <c r="F6" i="26"/>
  <c r="F8" i="26"/>
  <c r="F7" i="26"/>
  <c r="F5" i="26"/>
  <c r="F9" i="26"/>
  <c r="F13" i="43" l="1"/>
  <c r="A1" i="43" s="1"/>
  <c r="F14" i="41"/>
  <c r="A1" i="41" s="1"/>
  <c r="F10" i="26"/>
  <c r="A1" i="26" s="1"/>
  <c r="D10" i="39" l="1"/>
  <c r="C21" i="10"/>
  <c r="F21" i="10" s="1"/>
  <c r="E14" i="10"/>
  <c r="E13" i="10"/>
  <c r="C4" i="10"/>
  <c r="F4" i="10" s="1"/>
  <c r="C19" i="38"/>
  <c r="F19" i="38" s="1"/>
  <c r="D17" i="38"/>
  <c r="C7" i="38" s="1"/>
  <c r="F7" i="38" s="1"/>
  <c r="D48" i="30"/>
  <c r="C17" i="10" l="1"/>
  <c r="F17" i="10" s="1"/>
  <c r="C18" i="10"/>
  <c r="F18" i="10" s="1"/>
  <c r="C10" i="10"/>
  <c r="F10" i="10" s="1"/>
  <c r="C4" i="39"/>
  <c r="F4" i="39" s="1"/>
  <c r="C7" i="39"/>
  <c r="F7" i="39" s="1"/>
  <c r="C9" i="39"/>
  <c r="F9" i="39" s="1"/>
  <c r="C8" i="39"/>
  <c r="F8" i="39" s="1"/>
  <c r="C6" i="39"/>
  <c r="F6" i="39" s="1"/>
  <c r="C5" i="39"/>
  <c r="F5" i="39" s="1"/>
  <c r="E32" i="30"/>
  <c r="E28" i="30"/>
  <c r="E21" i="30"/>
  <c r="E20" i="30"/>
  <c r="E8" i="30"/>
  <c r="E7" i="30"/>
  <c r="C41" i="30"/>
  <c r="F41" i="30" s="1"/>
  <c r="C4" i="30"/>
  <c r="F4" i="30" s="1"/>
  <c r="D25" i="29"/>
  <c r="C18" i="29"/>
  <c r="F18" i="29" s="1"/>
  <c r="E9" i="29"/>
  <c r="C4" i="29"/>
  <c r="F4" i="29" s="1"/>
  <c r="D25" i="28"/>
  <c r="C18" i="28"/>
  <c r="F18" i="28" s="1"/>
  <c r="C4" i="28"/>
  <c r="F4" i="28" s="1"/>
  <c r="D50" i="3"/>
  <c r="D14" i="9"/>
  <c r="C4" i="9"/>
  <c r="F4" i="9" s="1"/>
  <c r="D56" i="2"/>
  <c r="E7" i="27"/>
  <c r="E6" i="27"/>
  <c r="D29" i="27"/>
  <c r="C22" i="27"/>
  <c r="F22" i="27" s="1"/>
  <c r="C4" i="27"/>
  <c r="F4" i="27" s="1"/>
  <c r="D32" i="5"/>
  <c r="E7" i="5"/>
  <c r="C25" i="5"/>
  <c r="F25" i="5" s="1"/>
  <c r="C4" i="5"/>
  <c r="F4" i="5" s="1"/>
  <c r="C13" i="5" s="1"/>
  <c r="F13" i="5" s="1"/>
  <c r="C19" i="4"/>
  <c r="F19" i="4" s="1"/>
  <c r="D26" i="4"/>
  <c r="E9" i="4"/>
  <c r="C4" i="4"/>
  <c r="F4" i="4" s="1"/>
  <c r="M37" i="3"/>
  <c r="L31" i="3"/>
  <c r="N9" i="3"/>
  <c r="N26" i="3"/>
  <c r="N23" i="3"/>
  <c r="N10" i="3"/>
  <c r="L7" i="3"/>
  <c r="C37" i="30" l="1"/>
  <c r="F37" i="30" s="1"/>
  <c r="C38" i="30"/>
  <c r="F38" i="30" s="1"/>
  <c r="C14" i="29"/>
  <c r="F14" i="29" s="1"/>
  <c r="C15" i="29"/>
  <c r="F15" i="29" s="1"/>
  <c r="C14" i="28"/>
  <c r="F14" i="28" s="1"/>
  <c r="C15" i="28"/>
  <c r="F15" i="28" s="1"/>
  <c r="C12" i="9"/>
  <c r="F12" i="9" s="1"/>
  <c r="C13" i="9"/>
  <c r="F13" i="9" s="1"/>
  <c r="C35" i="30"/>
  <c r="F35" i="30" s="1"/>
  <c r="C13" i="30"/>
  <c r="F13" i="30" s="1"/>
  <c r="C12" i="30"/>
  <c r="F12" i="30" s="1"/>
  <c r="C36" i="30"/>
  <c r="F36" i="30" s="1"/>
  <c r="C8" i="9"/>
  <c r="F8" i="9" s="1"/>
  <c r="C9" i="9"/>
  <c r="F9" i="9" s="1"/>
  <c r="C11" i="9"/>
  <c r="F11" i="9" s="1"/>
  <c r="C10" i="9"/>
  <c r="F10" i="9" s="1"/>
  <c r="C18" i="27"/>
  <c r="F18" i="27" s="1"/>
  <c r="C19" i="27"/>
  <c r="F19" i="27" s="1"/>
  <c r="C21" i="4"/>
  <c r="F21" i="4" s="1"/>
  <c r="C24" i="4"/>
  <c r="F24" i="4" s="1"/>
  <c r="C25" i="4"/>
  <c r="F25" i="4" s="1"/>
  <c r="C22" i="4"/>
  <c r="F22" i="4" s="1"/>
  <c r="C23" i="4"/>
  <c r="F23" i="4" s="1"/>
  <c r="C30" i="5"/>
  <c r="F30" i="5" s="1"/>
  <c r="C31" i="5"/>
  <c r="F31" i="5" s="1"/>
  <c r="C15" i="4"/>
  <c r="F15" i="4" s="1"/>
  <c r="C16" i="4"/>
  <c r="F16" i="4" s="1"/>
  <c r="C7" i="4"/>
  <c r="F7" i="4" s="1"/>
  <c r="C21" i="5"/>
  <c r="F21" i="5" s="1"/>
  <c r="C22" i="5"/>
  <c r="F22" i="5" s="1"/>
  <c r="C25" i="30"/>
  <c r="F25" i="30" s="1"/>
  <c r="C24" i="30"/>
  <c r="F24" i="30" s="1"/>
  <c r="C10" i="30"/>
  <c r="F10" i="30" s="1"/>
  <c r="C11" i="30"/>
  <c r="F11" i="30" s="1"/>
  <c r="C12" i="29"/>
  <c r="F12" i="29" s="1"/>
  <c r="C11" i="29"/>
  <c r="F11" i="29" s="1"/>
  <c r="C11" i="28"/>
  <c r="F11" i="28" s="1"/>
  <c r="C12" i="28"/>
  <c r="F12" i="28" s="1"/>
  <c r="C10" i="5"/>
  <c r="F10" i="5" s="1"/>
  <c r="C6" i="5"/>
  <c r="C27" i="5"/>
  <c r="F10" i="39"/>
  <c r="E27" i="1" s="1"/>
  <c r="F7" i="3"/>
  <c r="C10" i="39"/>
  <c r="C14" i="4"/>
  <c r="F14" i="4" s="1"/>
  <c r="C13" i="4"/>
  <c r="F13" i="4" s="1"/>
  <c r="C11" i="4"/>
  <c r="F11" i="4" s="1"/>
  <c r="C10" i="4"/>
  <c r="F10" i="4" s="1"/>
  <c r="C12" i="4"/>
  <c r="F12" i="4" s="1"/>
  <c r="C9" i="4"/>
  <c r="F9" i="4" s="1"/>
  <c r="C8" i="4"/>
  <c r="F8" i="4" s="1"/>
  <c r="C6" i="4"/>
  <c r="C39" i="3" l="1"/>
  <c r="F39" i="3" s="1"/>
  <c r="C37" i="3"/>
  <c r="F37" i="3" s="1"/>
  <c r="C38" i="3"/>
  <c r="F38" i="3" s="1"/>
  <c r="C20" i="3"/>
  <c r="F20" i="3" s="1"/>
  <c r="C19" i="3"/>
  <c r="F19" i="3" s="1"/>
  <c r="C41" i="3"/>
  <c r="F41" i="3" s="1"/>
  <c r="C14" i="3"/>
  <c r="F14" i="3" s="1"/>
  <c r="C40" i="3"/>
  <c r="F40" i="3" s="1"/>
  <c r="C17" i="4"/>
  <c r="C33" i="3"/>
  <c r="F33" i="3" s="1"/>
  <c r="C13" i="3"/>
  <c r="F13" i="3" s="1"/>
  <c r="C6" i="9"/>
  <c r="F6" i="9" s="1"/>
  <c r="C7" i="9"/>
  <c r="F7" i="9" s="1"/>
  <c r="F6" i="4"/>
  <c r="F17" i="4" s="1"/>
  <c r="F14" i="9" l="1"/>
  <c r="C14" i="9"/>
  <c r="C4" i="50" l="1"/>
  <c r="C5" i="50" s="1"/>
  <c r="F6" i="49" l="1"/>
  <c r="F5" i="49"/>
  <c r="F7" i="49"/>
  <c r="D4" i="48"/>
  <c r="D5" i="48"/>
  <c r="G5" i="48" s="1"/>
  <c r="D7" i="48"/>
  <c r="G7" i="48" s="1"/>
  <c r="D6" i="48"/>
  <c r="G6" i="48" s="1"/>
  <c r="D4" i="46"/>
  <c r="D5" i="46"/>
  <c r="G5" i="46" s="1"/>
  <c r="D7" i="46"/>
  <c r="G7" i="46" s="1"/>
  <c r="D6" i="46"/>
  <c r="G6" i="46" s="1"/>
  <c r="F4" i="50"/>
  <c r="F5" i="50" s="1"/>
  <c r="E38" i="1" s="1"/>
  <c r="D38" i="1" s="1"/>
  <c r="D8" i="46" l="1"/>
  <c r="D8" i="48"/>
  <c r="G4" i="48"/>
  <c r="G8" i="48" s="1"/>
  <c r="E36" i="1" s="1"/>
  <c r="G4" i="46"/>
  <c r="G8" i="46" s="1"/>
  <c r="E35" i="1" s="1"/>
  <c r="F4" i="49"/>
  <c r="C16" i="2"/>
  <c r="F16" i="2" s="1"/>
  <c r="C19" i="2"/>
  <c r="F19" i="2" s="1"/>
  <c r="C13" i="2"/>
  <c r="F13" i="2" s="1"/>
  <c r="C10" i="2"/>
  <c r="F10" i="2" s="1"/>
  <c r="C25" i="2"/>
  <c r="F25" i="2" s="1"/>
  <c r="C22" i="2"/>
  <c r="F22" i="2" s="1"/>
  <c r="F9" i="49" l="1"/>
  <c r="E37" i="1" s="1"/>
  <c r="C35" i="2"/>
  <c r="C44" i="2"/>
  <c r="F44" i="2" s="1"/>
  <c r="C20" i="2"/>
  <c r="F20" i="2" s="1"/>
  <c r="C6" i="2"/>
  <c r="C27" i="2"/>
  <c r="C11" i="2"/>
  <c r="F11" i="2" s="1"/>
  <c r="C14" i="2"/>
  <c r="F14" i="2" s="1"/>
  <c r="C8" i="2"/>
  <c r="F8" i="2" s="1"/>
  <c r="C12" i="2"/>
  <c r="F12" i="2" s="1"/>
  <c r="C24" i="2"/>
  <c r="F24" i="2" s="1"/>
  <c r="C30" i="2"/>
  <c r="C15" i="2"/>
  <c r="F15" i="2" s="1"/>
  <c r="C17" i="2"/>
  <c r="F17" i="2" s="1"/>
  <c r="C39" i="2"/>
  <c r="C40" i="2"/>
  <c r="C43" i="2"/>
  <c r="C41" i="2"/>
  <c r="C37" i="2"/>
  <c r="C38" i="2"/>
  <c r="C55" i="2"/>
  <c r="C53" i="2"/>
  <c r="C50" i="2"/>
  <c r="C54" i="2"/>
  <c r="C49" i="2"/>
  <c r="C51" i="2"/>
  <c r="C52" i="2"/>
  <c r="C31" i="2" l="1"/>
  <c r="F6" i="2"/>
  <c r="C45" i="2"/>
  <c r="F37" i="2"/>
  <c r="F53" i="2"/>
  <c r="F55" i="2"/>
  <c r="F43" i="2"/>
  <c r="F54" i="2"/>
  <c r="F40" i="2"/>
  <c r="F39" i="2"/>
  <c r="F52" i="2"/>
  <c r="F50" i="2"/>
  <c r="F51" i="2"/>
  <c r="F30" i="2"/>
  <c r="F27" i="2"/>
  <c r="F41" i="2"/>
  <c r="F38" i="2"/>
  <c r="F31" i="2" l="1"/>
  <c r="F49" i="2"/>
  <c r="F56" i="2" s="1"/>
  <c r="C56" i="2"/>
  <c r="F35" i="2"/>
  <c r="F45" i="2" s="1"/>
  <c r="F58" i="2" l="1"/>
  <c r="E16" i="1" l="1"/>
  <c r="D16" i="1" l="1"/>
  <c r="F44" i="3" l="1"/>
  <c r="C32" i="3"/>
  <c r="F32" i="3" l="1"/>
  <c r="C47" i="3"/>
  <c r="F47" i="3" s="1"/>
  <c r="C12" i="3"/>
  <c r="F12" i="3" s="1"/>
  <c r="C24" i="3"/>
  <c r="F24" i="3" s="1"/>
  <c r="C29" i="3"/>
  <c r="F29" i="3" s="1"/>
  <c r="C23" i="3"/>
  <c r="C34" i="3"/>
  <c r="F34" i="3" s="1"/>
  <c r="C11" i="3"/>
  <c r="F11" i="3" s="1"/>
  <c r="C27" i="3"/>
  <c r="F27" i="3" s="1"/>
  <c r="C17" i="3"/>
  <c r="F17" i="3" s="1"/>
  <c r="C15" i="3"/>
  <c r="F15" i="3" s="1"/>
  <c r="C16" i="3"/>
  <c r="F16" i="3" s="1"/>
  <c r="C26" i="3"/>
  <c r="F26" i="3" s="1"/>
  <c r="C10" i="3"/>
  <c r="C30" i="3"/>
  <c r="F30" i="3" s="1"/>
  <c r="C48" i="3"/>
  <c r="F48" i="3" s="1"/>
  <c r="C49" i="3"/>
  <c r="F49" i="3" s="1"/>
  <c r="C28" i="3"/>
  <c r="F28" i="3" s="1"/>
  <c r="C36" i="3"/>
  <c r="C18" i="3"/>
  <c r="C46" i="3"/>
  <c r="C25" i="3"/>
  <c r="F25" i="3" s="1"/>
  <c r="C21" i="3"/>
  <c r="F21" i="3" s="1"/>
  <c r="F36" i="3" l="1"/>
  <c r="F23" i="3"/>
  <c r="C42" i="3"/>
  <c r="F10" i="3"/>
  <c r="F46" i="3"/>
  <c r="F50" i="3" s="1"/>
  <c r="C50" i="3"/>
  <c r="F18" i="3"/>
  <c r="O7" i="3"/>
  <c r="O31" i="3"/>
  <c r="L34" i="3" s="1"/>
  <c r="O34" i="3" s="1"/>
  <c r="F42" i="3" l="1"/>
  <c r="F52" i="3" s="1"/>
  <c r="L27" i="3"/>
  <c r="O27" i="3" s="1"/>
  <c r="L28" i="3"/>
  <c r="O28" i="3" s="1"/>
  <c r="L15" i="3"/>
  <c r="O15" i="3" s="1"/>
  <c r="L18" i="3"/>
  <c r="O18" i="3" s="1"/>
  <c r="L11" i="3"/>
  <c r="O11" i="3" s="1"/>
  <c r="L36" i="3"/>
  <c r="O36" i="3" s="1"/>
  <c r="L24" i="3"/>
  <c r="O24" i="3" s="1"/>
  <c r="L26" i="3"/>
  <c r="O26" i="3" s="1"/>
  <c r="L14" i="3"/>
  <c r="O14" i="3" s="1"/>
  <c r="L17" i="3"/>
  <c r="O17" i="3" s="1"/>
  <c r="L16" i="3"/>
  <c r="O16" i="3" s="1"/>
  <c r="L10" i="3"/>
  <c r="O10" i="3" s="1"/>
  <c r="L21" i="3"/>
  <c r="O21" i="3" s="1"/>
  <c r="L23" i="3"/>
  <c r="O23" i="3" s="1"/>
  <c r="L12" i="3"/>
  <c r="O12" i="3" s="1"/>
  <c r="L25" i="3"/>
  <c r="O25" i="3" s="1"/>
  <c r="L19" i="3"/>
  <c r="O19" i="3" s="1"/>
  <c r="L20" i="3"/>
  <c r="O20" i="3" s="1"/>
  <c r="L22" i="3"/>
  <c r="O22" i="3" s="1"/>
  <c r="L9" i="3"/>
  <c r="L35" i="3"/>
  <c r="O35" i="3" s="1"/>
  <c r="L33" i="3"/>
  <c r="L13" i="3"/>
  <c r="O13" i="3" s="1"/>
  <c r="L29" i="3" l="1"/>
  <c r="O9" i="3"/>
  <c r="O29" i="3" s="1"/>
  <c r="O33" i="3"/>
  <c r="O37" i="3" s="1"/>
  <c r="L37" i="3"/>
  <c r="C7" i="5"/>
  <c r="C14" i="5"/>
  <c r="F14" i="5" s="1"/>
  <c r="C19" i="5"/>
  <c r="F19" i="5" s="1"/>
  <c r="F6" i="5"/>
  <c r="C20" i="5"/>
  <c r="F20" i="5" s="1"/>
  <c r="C9" i="5"/>
  <c r="F9" i="5" s="1"/>
  <c r="C8" i="5"/>
  <c r="F8" i="5" s="1"/>
  <c r="C18" i="5"/>
  <c r="F18" i="5" s="1"/>
  <c r="C15" i="5"/>
  <c r="F15" i="5" s="1"/>
  <c r="C16" i="5"/>
  <c r="F16" i="5" s="1"/>
  <c r="C12" i="5"/>
  <c r="F12" i="5" s="1"/>
  <c r="C17" i="5"/>
  <c r="F17" i="5" s="1"/>
  <c r="C11" i="5"/>
  <c r="F11" i="5" s="1"/>
  <c r="C23" i="5" l="1"/>
  <c r="F7" i="5"/>
  <c r="F23" i="5" s="1"/>
  <c r="O39" i="3"/>
  <c r="F27" i="5"/>
  <c r="C28" i="5"/>
  <c r="F28" i="5" s="1"/>
  <c r="C29" i="5"/>
  <c r="F29" i="5" s="1"/>
  <c r="F55" i="3" l="1"/>
  <c r="E17" i="1" s="1"/>
  <c r="F32" i="5"/>
  <c r="F34" i="5" s="1"/>
  <c r="C32" i="5"/>
  <c r="D17" i="1" l="1"/>
  <c r="E19" i="1"/>
  <c r="D19" i="1" s="1"/>
  <c r="C10" i="27"/>
  <c r="F10" i="27" s="1"/>
  <c r="C15" i="27"/>
  <c r="F15" i="27" s="1"/>
  <c r="C14" i="27"/>
  <c r="F14" i="27" s="1"/>
  <c r="C6" i="27"/>
  <c r="C8" i="27"/>
  <c r="F8" i="27" s="1"/>
  <c r="C16" i="27"/>
  <c r="F16" i="27" s="1"/>
  <c r="C7" i="27"/>
  <c r="F7" i="27" s="1"/>
  <c r="C11" i="27"/>
  <c r="F11" i="27" s="1"/>
  <c r="C13" i="27"/>
  <c r="F13" i="27" s="1"/>
  <c r="C17" i="27"/>
  <c r="F17" i="27" s="1"/>
  <c r="C9" i="27"/>
  <c r="F9" i="27" s="1"/>
  <c r="C12" i="27"/>
  <c r="F12" i="27" s="1"/>
  <c r="C20" i="27" l="1"/>
  <c r="F6" i="27"/>
  <c r="F20" i="27" s="1"/>
  <c r="C27" i="27"/>
  <c r="F27" i="27" s="1"/>
  <c r="C25" i="27"/>
  <c r="F25" i="27" s="1"/>
  <c r="C28" i="27"/>
  <c r="F28" i="27" s="1"/>
  <c r="C24" i="27"/>
  <c r="F24" i="27" s="1"/>
  <c r="C26" i="27"/>
  <c r="F26" i="27" s="1"/>
  <c r="F29" i="27" l="1"/>
  <c r="F31" i="27" s="1"/>
  <c r="C29" i="27"/>
  <c r="E20" i="1" l="1"/>
  <c r="D20" i="1" s="1"/>
  <c r="C23" i="28" l="1"/>
  <c r="F23" i="28" s="1"/>
  <c r="C24" i="28"/>
  <c r="F24" i="28" s="1"/>
  <c r="C21" i="28"/>
  <c r="F21" i="28" s="1"/>
  <c r="C22" i="28"/>
  <c r="F22" i="28" s="1"/>
  <c r="C20" i="28"/>
  <c r="F20" i="28" s="1"/>
  <c r="C25" i="28" l="1"/>
  <c r="F25" i="28"/>
  <c r="C9" i="28"/>
  <c r="F9" i="28" s="1"/>
  <c r="C7" i="28"/>
  <c r="F7" i="28" s="1"/>
  <c r="C13" i="28"/>
  <c r="F13" i="28" s="1"/>
  <c r="C10" i="28"/>
  <c r="F10" i="28" s="1"/>
  <c r="C6" i="28"/>
  <c r="C8" i="28"/>
  <c r="F8" i="28" s="1"/>
  <c r="F6" i="28" l="1"/>
  <c r="F16" i="28" s="1"/>
  <c r="C16" i="28"/>
  <c r="C10" i="29"/>
  <c r="F10" i="29" s="1"/>
  <c r="C7" i="29"/>
  <c r="F7" i="29" s="1"/>
  <c r="C13" i="29"/>
  <c r="F13" i="29" s="1"/>
  <c r="C8" i="29"/>
  <c r="F8" i="29" s="1"/>
  <c r="C9" i="29"/>
  <c r="F9" i="29" s="1"/>
  <c r="C6" i="29"/>
  <c r="C24" i="29"/>
  <c r="F24" i="29" s="1"/>
  <c r="C23" i="29"/>
  <c r="F23" i="29" s="1"/>
  <c r="C22" i="29"/>
  <c r="F22" i="29" s="1"/>
  <c r="C21" i="29"/>
  <c r="F21" i="29" s="1"/>
  <c r="C20" i="29"/>
  <c r="F20" i="29" s="1"/>
  <c r="C16" i="29" l="1"/>
  <c r="F6" i="29"/>
  <c r="F16" i="29" s="1"/>
  <c r="F27" i="28"/>
  <c r="E22" i="1" s="1"/>
  <c r="D22" i="1" s="1"/>
  <c r="C25" i="29"/>
  <c r="F25" i="29"/>
  <c r="F27" i="29" l="1"/>
  <c r="E23" i="1" s="1"/>
  <c r="D23" i="1" s="1"/>
  <c r="C6" i="30"/>
  <c r="C29" i="30"/>
  <c r="F29" i="30" s="1"/>
  <c r="C28" i="30"/>
  <c r="F28" i="30" s="1"/>
  <c r="C17" i="30"/>
  <c r="F17" i="30" s="1"/>
  <c r="C9" i="30"/>
  <c r="F9" i="30" s="1"/>
  <c r="C18" i="30"/>
  <c r="F18" i="30" s="1"/>
  <c r="C31" i="30"/>
  <c r="F31" i="30" s="1"/>
  <c r="C20" i="30"/>
  <c r="F20" i="30" s="1"/>
  <c r="C30" i="30"/>
  <c r="F30" i="30" s="1"/>
  <c r="C33" i="30"/>
  <c r="F33" i="30" s="1"/>
  <c r="C26" i="30"/>
  <c r="F26" i="30" s="1"/>
  <c r="C23" i="30"/>
  <c r="F23" i="30" s="1"/>
  <c r="C22" i="30"/>
  <c r="F22" i="30" s="1"/>
  <c r="C27" i="30"/>
  <c r="F27" i="30" s="1"/>
  <c r="C32" i="30"/>
  <c r="F32" i="30" s="1"/>
  <c r="C21" i="30"/>
  <c r="F21" i="30" s="1"/>
  <c r="C7" i="30"/>
  <c r="F7" i="30" s="1"/>
  <c r="C14" i="30"/>
  <c r="F14" i="30" s="1"/>
  <c r="C8" i="30"/>
  <c r="F8" i="30" s="1"/>
  <c r="C15" i="30"/>
  <c r="F15" i="30" s="1"/>
  <c r="C16" i="30"/>
  <c r="F16" i="30" s="1"/>
  <c r="C19" i="30"/>
  <c r="F19" i="30" s="1"/>
  <c r="C34" i="30"/>
  <c r="F34" i="30" s="1"/>
  <c r="C39" i="30" l="1"/>
  <c r="C43" i="30"/>
  <c r="C47" i="30"/>
  <c r="F47" i="30" s="1"/>
  <c r="C46" i="30"/>
  <c r="F46" i="30" s="1"/>
  <c r="C45" i="30"/>
  <c r="F45" i="30" s="1"/>
  <c r="C44" i="30"/>
  <c r="F44" i="30" s="1"/>
  <c r="F6" i="30"/>
  <c r="F39" i="30" s="1"/>
  <c r="F43" i="30" l="1"/>
  <c r="F48" i="30" s="1"/>
  <c r="F50" i="30" s="1"/>
  <c r="C48" i="30"/>
  <c r="E24" i="1" l="1"/>
  <c r="D24" i="1" s="1"/>
  <c r="C13" i="38"/>
  <c r="F13" i="38" s="1"/>
  <c r="C15" i="38"/>
  <c r="F15" i="38" s="1"/>
  <c r="C12" i="38"/>
  <c r="F12" i="38" s="1"/>
  <c r="C9" i="38"/>
  <c r="F9" i="38" s="1"/>
  <c r="C8" i="38"/>
  <c r="F8" i="38" s="1"/>
  <c r="C10" i="38"/>
  <c r="F10" i="38" s="1"/>
  <c r="C11" i="38"/>
  <c r="F11" i="38" s="1"/>
  <c r="C14" i="38"/>
  <c r="F14" i="38" s="1"/>
  <c r="C16" i="38"/>
  <c r="F16" i="38" s="1"/>
  <c r="C6" i="38"/>
  <c r="C17" i="38" l="1"/>
  <c r="F6" i="38"/>
  <c r="F17" i="38" s="1"/>
  <c r="C22" i="38"/>
  <c r="F22" i="38" s="1"/>
  <c r="C23" i="38"/>
  <c r="F23" i="38" s="1"/>
  <c r="C21" i="38"/>
  <c r="C24" i="38"/>
  <c r="F24" i="38" s="1"/>
  <c r="F21" i="38" l="1"/>
  <c r="F25" i="38" s="1"/>
  <c r="C25" i="38"/>
  <c r="C12" i="10"/>
  <c r="F12" i="10" s="1"/>
  <c r="C16" i="10"/>
  <c r="F16" i="10" s="1"/>
  <c r="C15" i="10"/>
  <c r="F15" i="10" s="1"/>
  <c r="C8" i="10"/>
  <c r="F8" i="10" s="1"/>
  <c r="C7" i="10"/>
  <c r="F7" i="10" s="1"/>
  <c r="C14" i="10"/>
  <c r="F14" i="10" s="1"/>
  <c r="C11" i="10"/>
  <c r="F11" i="10" s="1"/>
  <c r="C9" i="10"/>
  <c r="F9" i="10" s="1"/>
  <c r="C6" i="10"/>
  <c r="C13" i="10"/>
  <c r="F13" i="10" s="1"/>
  <c r="C19" i="10" l="1"/>
  <c r="F6" i="10"/>
  <c r="F19" i="10" s="1"/>
  <c r="F27" i="38"/>
  <c r="E25" i="1" s="1"/>
  <c r="D25" i="1" s="1"/>
  <c r="C24" i="10"/>
  <c r="F24" i="10" s="1"/>
  <c r="C27" i="10"/>
  <c r="F27" i="10" s="1"/>
  <c r="C25" i="10"/>
  <c r="F25" i="10" s="1"/>
  <c r="C23" i="10"/>
  <c r="F23" i="10" s="1"/>
  <c r="C26" i="10"/>
  <c r="F26" i="10" s="1"/>
  <c r="C28" i="10" l="1"/>
  <c r="F28" i="10"/>
  <c r="F30" i="10" s="1"/>
  <c r="C6" i="40"/>
  <c r="C8" i="40"/>
  <c r="F8" i="40" s="1"/>
  <c r="C14" i="40"/>
  <c r="F14" i="40" s="1"/>
  <c r="C15" i="40"/>
  <c r="F15" i="40" s="1"/>
  <c r="C9" i="40"/>
  <c r="F9" i="40" s="1"/>
  <c r="C10" i="40"/>
  <c r="F10" i="40" s="1"/>
  <c r="C12" i="40"/>
  <c r="F12" i="40" s="1"/>
  <c r="C11" i="40"/>
  <c r="F11" i="40" s="1"/>
  <c r="C13" i="40"/>
  <c r="F13" i="40" s="1"/>
  <c r="C18" i="40" l="1"/>
  <c r="F6" i="40"/>
  <c r="E26" i="1"/>
  <c r="D26" i="1" s="1"/>
  <c r="C25" i="40"/>
  <c r="F25" i="40" s="1"/>
  <c r="C26" i="40"/>
  <c r="F26" i="40" s="1"/>
  <c r="C23" i="40"/>
  <c r="F23" i="40" s="1"/>
  <c r="C24" i="40"/>
  <c r="F24" i="40" s="1"/>
  <c r="C22" i="40"/>
  <c r="F22" i="40" s="1"/>
  <c r="F18" i="40" l="1"/>
  <c r="C27" i="40"/>
  <c r="F27" i="40"/>
  <c r="F29" i="40" l="1"/>
  <c r="E28" i="1" s="1"/>
  <c r="D28" i="1" s="1"/>
  <c r="D29" i="1"/>
  <c r="C6" i="34"/>
  <c r="C14" i="34"/>
  <c r="F14" i="34" s="1"/>
  <c r="C15" i="34"/>
  <c r="F15" i="34" s="1"/>
  <c r="C18" i="34"/>
  <c r="F18" i="34" s="1"/>
  <c r="C12" i="34"/>
  <c r="F12" i="34" s="1"/>
  <c r="C13" i="34"/>
  <c r="F13" i="34" s="1"/>
  <c r="C11" i="34"/>
  <c r="F11" i="34" s="1"/>
  <c r="C9" i="34"/>
  <c r="F9" i="34" s="1"/>
  <c r="C19" i="34"/>
  <c r="F19" i="34" s="1"/>
  <c r="C8" i="34"/>
  <c r="F8" i="34" s="1"/>
  <c r="C17" i="34"/>
  <c r="F17" i="34" s="1"/>
  <c r="C16" i="34"/>
  <c r="F16" i="34" s="1"/>
  <c r="C10" i="34"/>
  <c r="F10" i="34" s="1"/>
  <c r="C20" i="34" l="1"/>
  <c r="C28" i="34"/>
  <c r="F28" i="34" s="1"/>
  <c r="C26" i="34"/>
  <c r="F26" i="34" s="1"/>
  <c r="C25" i="34"/>
  <c r="F25" i="34" s="1"/>
  <c r="C27" i="34"/>
  <c r="F27" i="34" s="1"/>
  <c r="C24" i="34"/>
  <c r="F6" i="34"/>
  <c r="F20" i="34" s="1"/>
  <c r="C29" i="34" l="1"/>
  <c r="F24" i="34"/>
  <c r="F29" i="34" s="1"/>
  <c r="F31" i="34" s="1"/>
  <c r="E30" i="1" l="1"/>
  <c r="D30" i="1" s="1"/>
  <c r="C6" i="35"/>
  <c r="C14" i="35"/>
  <c r="F14" i="35" s="1"/>
  <c r="C12" i="35"/>
  <c r="F12" i="35" s="1"/>
  <c r="C13" i="35"/>
  <c r="F13" i="35" s="1"/>
  <c r="C17" i="35"/>
  <c r="F17" i="35" s="1"/>
  <c r="C19" i="35"/>
  <c r="F19" i="35" s="1"/>
  <c r="C22" i="35"/>
  <c r="F22" i="35" s="1"/>
  <c r="C10" i="35"/>
  <c r="F10" i="35" s="1"/>
  <c r="C8" i="35"/>
  <c r="F8" i="35" s="1"/>
  <c r="C23" i="35"/>
  <c r="F23" i="35" s="1"/>
  <c r="C11" i="35"/>
  <c r="F11" i="35" s="1"/>
  <c r="C9" i="35"/>
  <c r="F9" i="35" s="1"/>
  <c r="C18" i="35"/>
  <c r="F18" i="35" s="1"/>
  <c r="C20" i="35"/>
  <c r="F20" i="35" s="1"/>
  <c r="C16" i="35"/>
  <c r="F16" i="35" s="1"/>
  <c r="C21" i="35"/>
  <c r="F21" i="35" s="1"/>
  <c r="C15" i="35"/>
  <c r="F15" i="35" s="1"/>
  <c r="C26" i="35" l="1"/>
  <c r="F6" i="35"/>
  <c r="F26" i="35" s="1"/>
  <c r="C34" i="35"/>
  <c r="F34" i="35" s="1"/>
  <c r="C33" i="35"/>
  <c r="F33" i="35" s="1"/>
  <c r="C30" i="35"/>
  <c r="F30" i="35" s="1"/>
  <c r="C31" i="35"/>
  <c r="F31" i="35" s="1"/>
  <c r="C32" i="35"/>
  <c r="F32" i="35" s="1"/>
  <c r="F35" i="35" l="1"/>
  <c r="F37" i="35" s="1"/>
  <c r="C35" i="35"/>
  <c r="C6" i="36"/>
  <c r="C28" i="36"/>
  <c r="F28" i="36" s="1"/>
  <c r="C14" i="36"/>
  <c r="F14" i="36" s="1"/>
  <c r="C9" i="36"/>
  <c r="F9" i="36" s="1"/>
  <c r="C31" i="36"/>
  <c r="F31" i="36" s="1"/>
  <c r="C16" i="36"/>
  <c r="F16" i="36" s="1"/>
  <c r="C10" i="36"/>
  <c r="F10" i="36" s="1"/>
  <c r="C24" i="36"/>
  <c r="F24" i="36" s="1"/>
  <c r="C17" i="36"/>
  <c r="F17" i="36" s="1"/>
  <c r="C7" i="36"/>
  <c r="C26" i="36"/>
  <c r="F26" i="36" s="1"/>
  <c r="C12" i="36"/>
  <c r="F12" i="36" s="1"/>
  <c r="C11" i="36"/>
  <c r="F11" i="36" s="1"/>
  <c r="C15" i="36"/>
  <c r="F15" i="36" s="1"/>
  <c r="C30" i="36"/>
  <c r="F30" i="36" s="1"/>
  <c r="C23" i="36"/>
  <c r="F23" i="36" s="1"/>
  <c r="C8" i="36"/>
  <c r="F8" i="36" s="1"/>
  <c r="C29" i="36"/>
  <c r="F29" i="36" s="1"/>
  <c r="C27" i="36"/>
  <c r="F27" i="36" s="1"/>
  <c r="C25" i="36"/>
  <c r="F25" i="36" s="1"/>
  <c r="C34" i="36" l="1"/>
  <c r="F6" i="36"/>
  <c r="E31" i="1"/>
  <c r="D31" i="1" s="1"/>
  <c r="C42" i="36"/>
  <c r="F42" i="36" s="1"/>
  <c r="C40" i="36"/>
  <c r="F40" i="36" s="1"/>
  <c r="C38" i="36"/>
  <c r="C41" i="36"/>
  <c r="F41" i="36" s="1"/>
  <c r="C39" i="36"/>
  <c r="F39" i="36" s="1"/>
  <c r="F7" i="36"/>
  <c r="F34" i="36" l="1"/>
  <c r="C43" i="36"/>
  <c r="F38" i="36"/>
  <c r="F43" i="36" l="1"/>
  <c r="F45" i="36" s="1"/>
  <c r="F11" i="45"/>
  <c r="F4" i="45"/>
  <c r="F8" i="45"/>
  <c r="E32" i="1" l="1"/>
  <c r="D32" i="1" s="1"/>
  <c r="F6" i="45"/>
  <c r="F5" i="45"/>
  <c r="F9" i="45"/>
  <c r="F10" i="45"/>
  <c r="F7" i="45"/>
  <c r="F12" i="45" l="1"/>
  <c r="F13" i="45" s="1"/>
  <c r="A1" i="45" s="1"/>
  <c r="E34" i="1" a="1"/>
  <c r="E34" i="1" l="1"/>
  <c r="D27" i="1" l="1"/>
  <c r="D34" i="1"/>
  <c r="D35" i="1"/>
  <c r="D36" i="1"/>
  <c r="D37" i="1"/>
  <c r="F26" i="4"/>
  <c r="F28" i="4" s="1"/>
  <c r="E18" i="1" s="1"/>
  <c r="C26" i="4"/>
  <c r="D18" i="1" l="1"/>
  <c r="F25" i="9"/>
  <c r="E21" i="1" s="1"/>
  <c r="E39" i="1" s="1"/>
  <c r="D40" i="1" l="1"/>
  <c r="D41" i="1" s="1"/>
  <c r="B6" i="51" s="1"/>
  <c r="D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Catherine Alyssa</author>
    <author/>
  </authors>
  <commentList>
    <comment ref="D7" authorId="0" shapeId="0" xr:uid="{9E865C40-E438-E642-88CC-54DF64EC9EBA}">
      <text>
        <r>
          <rPr>
            <b/>
            <sz val="10"/>
            <color rgb="FF000000"/>
            <rFont val="Tahoma"/>
            <family val="2"/>
          </rPr>
          <t xml:space="preserve">INITIAL WAJIB DIISI!
</t>
        </r>
        <r>
          <rPr>
            <sz val="10"/>
            <color rgb="FF000000"/>
            <rFont val="Tahoma"/>
            <family val="2"/>
          </rPr>
          <t xml:space="preserve">Bobot penilaian AI akan disesuaikan dengan variasi. </t>
        </r>
      </text>
    </comment>
    <comment ref="E39" authorId="1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ID#AAABPjtIPy8
</t>
        </r>
        <r>
          <rPr>
            <sz val="11"/>
            <color rgb="FF000000"/>
            <rFont val="Calibri"/>
            <family val="2"/>
          </rPr>
          <t xml:space="preserve">tc={F1E9C2C7-5913-0F46-8251-DA827D2E9522}    (2024-06-20 08:44:07)
</t>
        </r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stderr: 0.01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ukZ1RMhnW050GmSpHbEi4+HyqP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Catherine Alyssa</author>
  </authors>
  <commentList>
    <comment ref="G3" authorId="0" shapeId="0" xr:uid="{05F4FFC7-0A74-2E4F-9E6B-8190E11C4F41}">
      <text>
        <r>
          <rPr>
            <b/>
            <sz val="10"/>
            <color rgb="FF000000"/>
            <rFont val="Tahoma"/>
            <family val="2"/>
          </rPr>
          <t>Catherine Alyssa: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Score based on AI variation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Catherine Alyssa</author>
    <author>Steven Liementha</author>
  </authors>
  <commentList>
    <comment ref="B6" authorId="0" shapeId="0" xr:uid="{4218B719-DBBC-BF49-80D3-AF9B0410976B}">
      <text>
        <r>
          <rPr>
            <b/>
            <sz val="10"/>
            <color rgb="FF000000"/>
            <rFont val="Tahoma"/>
            <family val="2"/>
          </rPr>
          <t>Catherine Alyssa: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- Explain how gRPC works (1)
</t>
        </r>
        <r>
          <rPr>
            <sz val="10"/>
            <color rgb="FF000000"/>
            <rFont val="Tahoma"/>
            <family val="2"/>
          </rPr>
          <t xml:space="preserve">- Explain Protobuf (1)
</t>
        </r>
        <r>
          <rPr>
            <sz val="10"/>
            <color rgb="FF000000"/>
            <rFont val="Tahoma"/>
            <family val="2"/>
          </rPr>
          <t xml:space="preserve">- Explain advantages of gRPC (1)
</t>
        </r>
        <r>
          <rPr>
            <sz val="10"/>
            <color rgb="FF000000"/>
            <rFont val="Tahoma"/>
            <family val="2"/>
          </rPr>
          <t>- Explain disadvantages of gRPC (1)</t>
        </r>
      </text>
    </comment>
    <comment ref="B8" authorId="0" shapeId="0" xr:uid="{63E283D6-C8BC-6543-944C-8AE3BC2E8AEE}">
      <text>
        <r>
          <rPr>
            <b/>
            <sz val="10"/>
            <color rgb="FF000000"/>
            <rFont val="Tahoma"/>
            <family val="2"/>
          </rPr>
          <t>Catherine Alyssa: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- Explain how gRPC-Web works (2)
</t>
        </r>
        <r>
          <rPr>
            <sz val="10"/>
            <color rgb="FF000000"/>
            <rFont val="Tahoma"/>
            <family val="2"/>
          </rPr>
          <t>- Explain why use gRPC-Web (2)</t>
        </r>
      </text>
    </comment>
    <comment ref="B10" authorId="0" shapeId="0" xr:uid="{4E719CFF-3BE3-D14A-966E-2D72C00D87CE}">
      <text>
        <r>
          <rPr>
            <b/>
            <sz val="10"/>
            <color rgb="FF000000"/>
            <rFont val="Tahoma"/>
            <family val="2"/>
          </rPr>
          <t>Catherine Alyssa: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- Explain how Envoy works (2)
</t>
        </r>
        <r>
          <rPr>
            <sz val="10"/>
            <color rgb="FF000000"/>
            <rFont val="Tahoma"/>
            <family val="2"/>
          </rPr>
          <t>- Configure Envoy (2)</t>
        </r>
      </text>
    </comment>
    <comment ref="B11" authorId="1" shapeId="0" xr:uid="{887368BC-FE1C-47CD-9F22-7D7135A194F6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Can:
- Upload
- Get
- Delete</t>
        </r>
      </text>
    </comment>
    <comment ref="B12" authorId="1" shapeId="0" xr:uid="{B0FC5470-6D3D-4B4A-8CCB-38275ED806C3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Security based on private/public</t>
        </r>
      </text>
    </comment>
    <comment ref="B13" authorId="1" shapeId="0" xr:uid="{21AE1A85-3ED2-4D3E-BFC9-ED59FD561265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- Use pre-signed URL
- Efficiency</t>
        </r>
      </text>
    </comment>
    <comment ref="B14" authorId="1" shapeId="0" xr:uid="{9615A6B2-EFDC-43D5-95E8-394182BE3F7F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Score = (n) amount of services documented</t>
        </r>
      </text>
    </comment>
    <comment ref="B15" authorId="1" shapeId="0" xr:uid="{276D0CEC-652F-4671-8635-79FAF4FB8E51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Follow these standards: https://gist.github.com/qoomon/5dfcdf8eec66a051ecd85625518cfd13
</t>
        </r>
        <r>
          <rPr>
            <sz val="9"/>
            <color rgb="FF000000"/>
            <rFont val="Tahoma"/>
            <family val="2"/>
          </rPr>
          <t xml:space="preserve">0 - Used
</t>
        </r>
        <r>
          <rPr>
            <sz val="9"/>
            <color rgb="FF000000"/>
            <rFont val="Tahoma"/>
            <family val="2"/>
          </rPr>
          <t>4 - Didn't use</t>
        </r>
      </text>
    </comment>
    <comment ref="B16" authorId="1" shapeId="0" xr:uid="{1D1EB84F-20E0-4F25-AE8E-E17759F2ED63}">
      <text>
        <r>
          <rPr>
            <b/>
            <sz val="9"/>
            <color rgb="FF000000"/>
            <rFont val="Tahoma"/>
            <family val="2"/>
          </rPr>
          <t xml:space="preserve">Steven Liementha:
</t>
        </r>
        <r>
          <rPr>
            <sz val="9"/>
            <color rgb="FF000000"/>
            <rFont val="Tahoma"/>
            <family val="2"/>
          </rPr>
          <t xml:space="preserve">- Explain the architecture
</t>
        </r>
        <r>
          <rPr>
            <sz val="9"/>
            <color rgb="FF000000"/>
            <rFont val="Tahoma"/>
            <family val="2"/>
          </rPr>
          <t>- Explain the advantages and disadvantages of Microservice</t>
        </r>
      </text>
    </comment>
    <comment ref="B17" authorId="1" shapeId="0" xr:uid="{A4DFC916-4A66-4451-8753-9610F861CC04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Pake database-per-service
</t>
        </r>
        <r>
          <rPr>
            <sz val="9"/>
            <color rgb="FF000000"/>
            <rFont val="Tahoma"/>
            <family val="2"/>
          </rPr>
          <t xml:space="preserve">*Kalau terlalu berat pakai 1 instance db juga gpp (minimal laporin)
</t>
        </r>
        <r>
          <rPr>
            <sz val="9"/>
            <color rgb="FF000000"/>
            <rFont val="Tahoma"/>
            <family val="2"/>
          </rPr>
          <t xml:space="preserve">0 - Used
</t>
        </r>
        <r>
          <rPr>
            <sz val="9"/>
            <color rgb="FF000000"/>
            <rFont val="Tahoma"/>
            <family val="2"/>
          </rPr>
          <t>4 - Didn't use</t>
        </r>
      </text>
    </comment>
    <comment ref="B18" authorId="1" shapeId="0" xr:uid="{EDF23253-0D84-427D-A7FD-930D70963079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Explain the advantages of Database-per-Service</t>
        </r>
      </text>
    </comment>
    <comment ref="B19" authorId="0" shapeId="0" xr:uid="{1F042CCC-A073-6A42-9417-0C0E9B6E10F9}">
      <text>
        <r>
          <rPr>
            <b/>
            <sz val="10"/>
            <color rgb="FF000000"/>
            <rFont val="Tahoma"/>
            <family val="2"/>
          </rPr>
          <t>Catherine Alyssa: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Explain how Hexagonal Architecture works</t>
        </r>
      </text>
    </comment>
    <comment ref="B20" authorId="1" shapeId="0" xr:uid="{EDFABF91-9EAF-43AE-9259-477C49FF9D4C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Bebas pake apa aja
</t>
        </r>
        <r>
          <rPr>
            <sz val="9"/>
            <color rgb="FF000000"/>
            <rFont val="Tahoma"/>
            <family val="2"/>
          </rPr>
          <t>- Makefile</t>
        </r>
      </text>
    </comment>
    <comment ref="B21" authorId="1" shapeId="0" xr:uid="{14B45CB2-8AF3-4482-B454-A9331FFC133C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Bisa manage filenya tanpa copy-copy :(</t>
        </r>
      </text>
    </comment>
    <comment ref="B22" authorId="1" shapeId="0" xr:uid="{1241CC51-C602-4CDE-80DF-6364C094027E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Pakai useContext, useState, useEffect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1 - Kalo pake zustand, dkk dan ga ngerti
</t>
        </r>
        <r>
          <rPr>
            <sz val="9"/>
            <color rgb="FF000000"/>
            <rFont val="Tahoma"/>
            <family val="2"/>
          </rPr>
          <t xml:space="preserve">2 - Ga ngerti buat ap
</t>
        </r>
        <r>
          <rPr>
            <sz val="9"/>
            <color rgb="FF000000"/>
            <rFont val="Tahoma"/>
            <family val="2"/>
          </rPr>
          <t xml:space="preserve">3 - Kalau ada pake zustand, dkk
</t>
        </r>
        <r>
          <rPr>
            <sz val="9"/>
            <color rgb="FF000000"/>
            <rFont val="Tahoma"/>
            <family val="2"/>
          </rPr>
          <t>4 - Kalo ngerti buat apa</t>
        </r>
      </text>
    </comment>
    <comment ref="B26" authorId="1" shapeId="0" xr:uid="{F2A3FCB8-6E05-4625-9F2E-6832AEC4553E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lazy load -&gt; component + image</t>
        </r>
      </text>
    </comment>
    <comment ref="B27" authorId="1" shapeId="0" xr:uid="{C6F8F64E-4BD2-40E0-BB9F-0CF43086DADD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Receive Web Notifications based on settings</t>
        </r>
      </text>
    </comment>
    <comment ref="B29" authorId="1" shapeId="0" xr:uid="{2AE835E0-1CBB-457D-9D5C-ACBA06EF8200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Ga bole push env ke github</t>
        </r>
      </text>
    </comment>
    <comment ref="B35" authorId="0" shapeId="0" xr:uid="{7B42BEBC-0C93-A24F-9428-5DBDC613842D}">
      <text>
        <r>
          <rPr>
            <b/>
            <sz val="10"/>
            <color rgb="FF000000"/>
            <rFont val="Tahoma"/>
            <family val="2"/>
          </rPr>
          <t>Catherine Alyssa: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- Explain what is containerization (1)
</t>
        </r>
        <r>
          <rPr>
            <sz val="10"/>
            <color rgb="FF000000"/>
            <rFont val="Tahoma"/>
            <family val="2"/>
          </rPr>
          <t xml:space="preserve">- Advantages of containerization (1)
</t>
        </r>
        <r>
          <rPr>
            <sz val="10"/>
            <color rgb="FF000000"/>
            <rFont val="Tahoma"/>
            <family val="2"/>
          </rPr>
          <t xml:space="preserve">- Docker image vs container (1)
</t>
        </r>
        <r>
          <rPr>
            <sz val="10"/>
            <color rgb="FF000000"/>
            <rFont val="Tahoma"/>
            <family val="2"/>
          </rPr>
          <t>- Explain why use docker compose (1)</t>
        </r>
      </text>
    </comment>
    <comment ref="B49" authorId="0" shapeId="0" xr:uid="{5D2503F9-3B04-934B-89DD-F3AF941DBF74}">
      <text>
        <r>
          <rPr>
            <b/>
            <sz val="10"/>
            <color rgb="FF000000"/>
            <rFont val="Tahoma"/>
            <family val="2"/>
          </rPr>
          <t>Catherine Alyssa: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Must not check per page </t>
        </r>
      </text>
    </comment>
    <comment ref="B51" authorId="1" shapeId="0" xr:uid="{5C1AB8FF-0F91-405B-9B26-3E5C8234E159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Pakai module interceptor or di gateway</t>
        </r>
      </text>
    </comment>
    <comment ref="B53" authorId="1" shapeId="0" xr:uid="{0AD4D9EC-E0F4-47CB-B0ED-AC8E4DC0979F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- Explain how Paseto works (2)
</t>
        </r>
        <r>
          <rPr>
            <sz val="9"/>
            <color rgb="FF000000"/>
            <rFont val="Tahoma"/>
            <family val="2"/>
          </rPr>
          <t>- Local vs. Public tokens (1)
- Paseto vs. JWT (1)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GpbwRZKnNgjctIqepZh7SMJ1+d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Liementha</author>
    <author>Catherine Alyssa Rapito</author>
    <author>Catherine Alyssa</author>
  </authors>
  <commentList>
    <comment ref="Q8" authorId="0" shapeId="0" xr:uid="{B1B6370B-9823-45AB-A7DF-53EED81360EE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1 - Ada link / button
</t>
        </r>
        <r>
          <rPr>
            <sz val="9"/>
            <color rgb="FF000000"/>
            <rFont val="Tahoma"/>
            <family val="2"/>
          </rPr>
          <t>1 - Bisa redirect</t>
        </r>
      </text>
    </comment>
    <comment ref="Q9" authorId="1" shapeId="0" xr:uid="{01E747A6-BCCF-4B79-8796-C09C62CB9350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Following, Friends, Message, Live, Settings, Logout</t>
        </r>
      </text>
    </comment>
    <comment ref="E10" authorId="2" shapeId="0" xr:uid="{423D1BB8-6A8A-0D4F-968A-2DDEC8830120}">
      <text>
        <r>
          <rPr>
            <sz val="10"/>
            <color rgb="FF000000"/>
            <rFont val="Tahoma"/>
            <family val="2"/>
          </rPr>
          <t xml:space="preserve">Bagi yang Scorenya berwarna merah, berarti diisi di </t>
        </r>
        <r>
          <rPr>
            <b/>
            <sz val="10"/>
            <color rgb="FF000000"/>
            <rFont val="Tahoma"/>
            <family val="2"/>
          </rPr>
          <t>Score Detail</t>
        </r>
      </text>
    </comment>
    <comment ref="H10" authorId="0" shapeId="0" xr:uid="{295EAB42-849F-BB45-9AF8-731D80E15B41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- Profile Picture (1)
</t>
        </r>
        <r>
          <rPr>
            <sz val="9"/>
            <color rgb="FF000000"/>
            <rFont val="Tahoma"/>
            <family val="2"/>
          </rPr>
          <t>- Username (1)</t>
        </r>
      </text>
    </comment>
    <comment ref="Q10" authorId="1" shapeId="0" xr:uid="{300E2C8B-08AB-47E7-80B8-AE81031F1522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FYP, Search Input,  Upload, Profile, Theme</t>
        </r>
      </text>
    </comment>
    <comment ref="Q23" authorId="1" shapeId="0" xr:uid="{6CBADCE7-A3B9-4B2F-8499-AFF0A0A28D68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Profile Picture
</t>
        </r>
        <r>
          <rPr>
            <sz val="9"/>
            <color rgb="FF000000"/>
            <rFont val="Tahoma"/>
            <family val="2"/>
          </rPr>
          <t xml:space="preserve">Name
</t>
        </r>
        <r>
          <rPr>
            <sz val="9"/>
            <color rgb="FF000000"/>
            <rFont val="Tahoma"/>
            <family val="2"/>
          </rPr>
          <t>Username</t>
        </r>
      </text>
    </comment>
    <comment ref="Q26" authorId="1" shapeId="0" xr:uid="{66A2FDB3-DAF7-407E-AC27-F5E7F170BF12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Company
</t>
        </r>
        <r>
          <rPr>
            <sz val="9"/>
            <color rgb="FF000000"/>
            <rFont val="Tahoma"/>
            <family val="2"/>
          </rPr>
          <t xml:space="preserve">Program
</t>
        </r>
        <r>
          <rPr>
            <sz val="9"/>
            <color rgb="FF000000"/>
            <rFont val="Tahoma"/>
            <family val="2"/>
          </rPr>
          <t>Terms</t>
        </r>
      </text>
    </comment>
    <comment ref="B34" authorId="1" shapeId="0" xr:uid="{91A11117-3B24-4396-A676-9E6F938C887B}">
      <text>
        <r>
          <rPr>
            <b/>
            <sz val="9"/>
            <color indexed="81"/>
            <rFont val="Tahoma"/>
            <family val="2"/>
          </rPr>
          <t>Catherine Alyssa Rapito:</t>
        </r>
        <r>
          <rPr>
            <sz val="9"/>
            <color indexed="81"/>
            <rFont val="Tahoma"/>
            <family val="2"/>
          </rPr>
          <t xml:space="preserve">
Validate if enabled by User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rUxOhWKx1fwzFPaIKpd3dMjepx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Liementha</author>
    <author>Catherine Alyssa Rapito</author>
  </authors>
  <commentList>
    <comment ref="H6" authorId="0" shapeId="0" xr:uid="{86C2C7BC-BC4A-40FE-ADD7-FCEBD5620B8E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1 - Ada link / button
1 - Bisa redirect</t>
        </r>
      </text>
    </comment>
    <comment ref="E7" authorId="1" shapeId="0" xr:uid="{C2229F82-E4BA-4EA6-913F-DF75BEFAB477}">
      <text>
        <r>
          <rPr>
            <b/>
            <sz val="9"/>
            <color indexed="81"/>
            <rFont val="Tahoma"/>
            <family val="2"/>
          </rPr>
          <t>Catherine Alyssa Rapito:</t>
        </r>
        <r>
          <rPr>
            <sz val="9"/>
            <color indexed="81"/>
            <rFont val="Tahoma"/>
            <family val="2"/>
          </rPr>
          <t xml:space="preserve">
          Fill on the right -&gt;</t>
        </r>
      </text>
    </comment>
    <comment ref="H7" authorId="0" shapeId="0" xr:uid="{07315993-B31E-D248-8615-871EC0657D64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Login Page
- For You Page</t>
        </r>
      </text>
    </comment>
    <comment ref="E8" authorId="1" shapeId="0" xr:uid="{B57B3F32-F14F-459D-B2CB-BFECED057CD3}">
      <text>
        <r>
          <rPr>
            <b/>
            <sz val="9"/>
            <color indexed="81"/>
            <rFont val="Tahoma"/>
            <family val="2"/>
          </rPr>
          <t>Catherine Alyssa Rapito:</t>
        </r>
        <r>
          <rPr>
            <sz val="9"/>
            <color indexed="81"/>
            <rFont val="Tahoma"/>
            <family val="2"/>
          </rPr>
          <t xml:space="preserve">
          Fill on the right -&gt;</t>
        </r>
      </text>
    </comment>
    <comment ref="H8" authorId="0" shapeId="0" xr:uid="{EE3F6FE9-9CAE-D441-B522-9ACD65D4B995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Email Field
- Username Field
- Password Field
- DOB Field
- OTP Code
- Register Button
- Send Code Button</t>
        </r>
      </text>
    </comment>
    <comment ref="B17" authorId="1" shapeId="0" xr:uid="{F24373BC-A053-4D83-AA65-0FB61A3C9698}">
      <text>
        <r>
          <rPr>
            <b/>
            <sz val="9"/>
            <color indexed="81"/>
            <rFont val="Tahoma"/>
            <family val="2"/>
          </rPr>
          <t>Catherine Alyssa Rapito:</t>
        </r>
        <r>
          <rPr>
            <sz val="9"/>
            <color indexed="81"/>
            <rFont val="Tahoma"/>
            <family val="2"/>
          </rPr>
          <t xml:space="preserve">
- Only activated accounts</t>
        </r>
      </text>
    </comment>
    <comment ref="B20" authorId="1" shapeId="0" xr:uid="{AF2DA6F1-8BA6-4DA0-BDF0-17FB2D91B471}">
      <text>
        <r>
          <rPr>
            <b/>
            <sz val="9"/>
            <color indexed="81"/>
            <rFont val="Tahoma"/>
            <family val="2"/>
          </rPr>
          <t>Steven Liementha</t>
        </r>
        <r>
          <rPr>
            <sz val="9"/>
            <color indexed="81"/>
            <rFont val="Tahoma"/>
            <family val="2"/>
          </rPr>
          <t>:
- User Login Information
- Include Link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AsH7XCG8R8IwG8juMiPZwA9c8gg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Liementha</author>
    <author>Catherine Alyssa Rapito</author>
  </authors>
  <commentList>
    <comment ref="H7" authorId="0" shapeId="0" xr:uid="{3FCE5DDC-DF5A-47CE-AB73-7803F1E70FD5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1 - Ada link / button
1 - Bisa redirect</t>
        </r>
      </text>
    </comment>
    <comment ref="H8" authorId="0" shapeId="0" xr:uid="{6491E18D-EB35-4DC8-9F6A-B4656A4D9D35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Register Page
- For You Page
- Reset Password Page</t>
        </r>
      </text>
    </comment>
    <comment ref="H9" authorId="0" shapeId="0" xr:uid="{16E85CF6-6474-441C-AE64-3D6D7B2B0A18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Email or Username Field
- Password Field
- Login Button</t>
        </r>
      </text>
    </comment>
    <comment ref="B10" authorId="0" shapeId="0" xr:uid="{95E062E1-DE5F-E74B-A825-7F817EBD5F67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Validate password
- Only activated accounts</t>
        </r>
      </text>
    </comment>
    <comment ref="B11" authorId="1" shapeId="0" xr:uid="{641D7825-2652-405D-85C8-246465EC74DB}">
      <text>
        <r>
          <rPr>
            <b/>
            <sz val="9"/>
            <color indexed="81"/>
            <rFont val="Tahoma"/>
            <family val="2"/>
          </rPr>
          <t>Catherine Alyssa Rapito:</t>
        </r>
        <r>
          <rPr>
            <sz val="9"/>
            <color indexed="81"/>
            <rFont val="Tahoma"/>
            <family val="2"/>
          </rPr>
          <t xml:space="preserve">
- Can log in with Google
- Automatically log in with Google service</t>
        </r>
      </text>
    </comment>
    <comment ref="B14" authorId="0" shapeId="0" xr:uid="{18F54B57-7721-C749-BC45-94273C8E88A7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User Login Information
- Include Link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469lR0Dr3lIfmpf6txnwAGKyL5A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Liementha</author>
  </authors>
  <commentList>
    <comment ref="H5" authorId="0" shapeId="0" xr:uid="{134B89E2-D35D-4A64-9ABB-B91F4F228D8E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1 - Ada link / button
1 - Bisa redirect</t>
        </r>
      </text>
    </comment>
    <comment ref="H6" authorId="0" shapeId="0" xr:uid="{EEE4E341-A4BC-B448-AC97-C8C325C48555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- Login Page
- For You Page</t>
        </r>
      </text>
    </comment>
    <comment ref="H7" authorId="0" shapeId="0" xr:uid="{4DED83B4-0212-9243-85B7-5409158EC92A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- Email Field
- Password Field
- OTP Code
- Submit Button
- Send Code Button</t>
        </r>
      </text>
    </comment>
    <comment ref="B14" authorId="0" shapeId="0" xr:uid="{AA94E26D-6D66-CA4B-AA58-9CF46A2FF954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Change password</t>
        </r>
      </text>
    </comment>
    <comment ref="B16" authorId="0" shapeId="0" xr:uid="{BDBE5A66-3B56-5F46-AE66-657B46F9D9DA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User Login Information
- Link Page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Catherine Alyssa Rapito</author>
  </authors>
  <commentList>
    <comment ref="B6" authorId="0" shapeId="0" xr:uid="{DE8ADAB6-497D-44D0-BCD3-B9CF2801667B}">
      <text>
        <r>
          <rPr>
            <b/>
            <sz val="9"/>
            <color indexed="81"/>
            <rFont val="Tahoma"/>
            <family val="2"/>
          </rPr>
          <t>Catherine Alyssa Rapito:</t>
        </r>
        <r>
          <rPr>
            <sz val="9"/>
            <color indexed="81"/>
            <rFont val="Tahoma"/>
            <family val="2"/>
          </rPr>
          <t xml:space="preserve">
- Sidebar
- Video Detail</t>
        </r>
      </text>
    </comment>
    <comment ref="B20" authorId="0" shapeId="0" xr:uid="{224EB9DB-7F72-4DE2-9855-CDA9104A20DD}">
      <text>
        <r>
          <rPr>
            <b/>
            <sz val="9"/>
            <color indexed="81"/>
            <rFont val="Tahoma"/>
            <family val="2"/>
          </rPr>
          <t>Catherine Alyssa Rapito:</t>
        </r>
        <r>
          <rPr>
            <sz val="9"/>
            <color indexed="81"/>
            <rFont val="Tahoma"/>
            <family val="2"/>
          </rPr>
          <t xml:space="preserve">
For desktop, tablet, and mobile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Liementha</author>
    <author>Catherine Alyssa Rapito</author>
  </authors>
  <commentList>
    <comment ref="H8" authorId="0" shapeId="0" xr:uid="{6C55C3B9-F41B-4B11-B9F3-62E75B7D8EDD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1 - Ada link / button
1 - Bisa redirect</t>
        </r>
      </text>
    </comment>
    <comment ref="H9" authorId="0" shapeId="0" xr:uid="{75B23E59-53A8-094E-903D-AEAC6FD9ACCC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- Username (1)
</t>
        </r>
        <r>
          <rPr>
            <sz val="9"/>
            <color rgb="FF000000"/>
            <rFont val="Tahoma"/>
            <family val="2"/>
          </rPr>
          <t xml:space="preserve">- Profile Picture (1)
</t>
        </r>
        <r>
          <rPr>
            <sz val="9"/>
            <color rgb="FF000000"/>
            <rFont val="Tahoma"/>
            <family val="2"/>
          </rPr>
          <t xml:space="preserve">- Latest Preview (2)
</t>
        </r>
        <r>
          <rPr>
            <sz val="9"/>
            <color rgb="FF000000"/>
            <rFont val="Tahoma"/>
            <family val="2"/>
          </rPr>
          <t xml:space="preserve">- Follow / Unfollow Button (1)
</t>
        </r>
        <r>
          <rPr>
            <sz val="9"/>
            <color rgb="FF000000"/>
            <rFont val="Tahoma"/>
            <family val="2"/>
          </rPr>
          <t xml:space="preserve">- Follow / Unfollow Functional (5)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I9" authorId="0" shapeId="0" xr:uid="{C500A23D-1B89-D540-82E1-954A674A20CF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1 - True
</t>
        </r>
        <r>
          <rPr>
            <sz val="9"/>
            <color rgb="FF000000"/>
            <rFont val="Tahoma"/>
            <family val="2"/>
          </rPr>
          <t>0 - False</t>
        </r>
      </text>
    </comment>
    <comment ref="B22" authorId="1" shapeId="0" xr:uid="{824CEED6-EBA5-4E07-8EC0-566114A6C850}">
      <text>
        <r>
          <rPr>
            <b/>
            <sz val="9"/>
            <color indexed="81"/>
            <rFont val="Tahoma"/>
            <family val="2"/>
          </rPr>
          <t>Catherine Alyssa Rapito:</t>
        </r>
        <r>
          <rPr>
            <sz val="9"/>
            <color indexed="81"/>
            <rFont val="Tahoma"/>
            <family val="2"/>
          </rPr>
          <t xml:space="preserve">
For desktop, tablet, and mobile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Liementha</author>
    <author>Catherine Alyssa Rapito</author>
  </authors>
  <commentList>
    <comment ref="H8" authorId="0" shapeId="0" xr:uid="{B00C549E-A545-41B3-9EF0-E79C3CD1765A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1 - Ada link / button
1 - Bisa redirect</t>
        </r>
      </text>
    </comment>
    <comment ref="H9" authorId="0" shapeId="0" xr:uid="{68C46D98-2126-EA4A-9268-C11E10FEBB12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Username (1)
- Profile Picture (1)
- Latest Preview (2)
- Follow / Unfollow Button (1)
- Follow / Unfollow Functional (5)
</t>
        </r>
      </text>
    </comment>
    <comment ref="I9" authorId="0" shapeId="0" xr:uid="{8B94334C-2A76-6845-B7C7-72C2B507C2AB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1 - True
</t>
        </r>
        <r>
          <rPr>
            <sz val="9"/>
            <color rgb="FF000000"/>
            <rFont val="Tahoma"/>
            <family val="2"/>
          </rPr>
          <t>0 - False</t>
        </r>
      </text>
    </comment>
    <comment ref="B22" authorId="1" shapeId="0" xr:uid="{654F58A3-F818-40EE-BE27-467F46AB7247}">
      <text>
        <r>
          <rPr>
            <b/>
            <sz val="9"/>
            <color indexed="81"/>
            <rFont val="Tahoma"/>
            <family val="2"/>
          </rPr>
          <t>Catherine Alyssa Rapito:</t>
        </r>
        <r>
          <rPr>
            <sz val="9"/>
            <color indexed="81"/>
            <rFont val="Tahoma"/>
            <family val="2"/>
          </rPr>
          <t xml:space="preserve">
For desktop, tablet, and mobile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Liementha</author>
  </authors>
  <commentList>
    <comment ref="H6" authorId="0" shapeId="0" xr:uid="{1E55C38B-6903-4315-8C32-63749DB1D975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1 - Ada link / button
1 - Bisa redirect</t>
        </r>
      </text>
    </comment>
    <comment ref="H7" authorId="0" shapeId="0" xr:uid="{6688F164-EFDF-48FC-BDC5-FBDBA59398F2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Edit Profile Button
- Share Button
- Follow / Unfollow Button
- Message Button
- Create Playlist Button
- Settings Button</t>
        </r>
      </text>
    </comment>
    <comment ref="H8" authorId="0" shapeId="0" xr:uid="{20B0632E-36B4-4C65-8AA6-31D325DD1FBC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Username
- Name
- Bio
- Profile Pic
- Following Count
- Follower Count
- Like Count</t>
        </r>
      </text>
    </comment>
    <comment ref="H12" authorId="0" shapeId="0" xr:uid="{EC3EA3EF-1A74-40F4-B49D-BEEABEB6BC06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Profile Picture
- Username
- Redirect</t>
        </r>
      </text>
    </comment>
    <comment ref="B14" authorId="0" shapeId="0" xr:uid="{CFDABF83-A0B5-4662-8772-879A4472E91F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- Name
</t>
        </r>
        <r>
          <rPr>
            <sz val="9"/>
            <color rgb="FF000000"/>
            <rFont val="Tahoma"/>
            <family val="2"/>
          </rPr>
          <t xml:space="preserve">- Username
</t>
        </r>
        <r>
          <rPr>
            <sz val="9"/>
            <color rgb="FF000000"/>
            <rFont val="Tahoma"/>
            <family val="2"/>
          </rPr>
          <t>- Bio</t>
        </r>
      </text>
    </comment>
    <comment ref="B19" authorId="0" shapeId="0" xr:uid="{BD7336F5-7011-444D-9A04-8724D1AC0EF0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Public
Friends
Only me</t>
        </r>
      </text>
    </comment>
    <comment ref="H20" authorId="0" shapeId="0" xr:uid="{84BC56C9-5090-483D-B88F-5156EDBFFF25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Name
- Total Post
- </t>
        </r>
      </text>
    </comment>
    <comment ref="H21" authorId="0" shapeId="0" xr:uid="{500F3360-B265-4297-B60C-69D16A57C8E1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Number
- Total Views
- Description
- Video Thumbnail / Cover</t>
        </r>
      </text>
    </comment>
    <comment ref="H24" authorId="0" shapeId="0" xr:uid="{A0A9B9D5-AD2A-4E5C-9BDB-2A2D61C7B1F6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Video Preview
- Total View
- Icon Visibility</t>
        </r>
      </text>
    </comment>
    <comment ref="B26" authorId="0" shapeId="0" xr:uid="{DF270415-B87B-4DD3-9426-491C66AFD5F2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Private</t>
        </r>
      </text>
    </comment>
    <comment ref="B27" authorId="0" shapeId="0" xr:uid="{831B3402-F2C7-4AB4-B182-E640B157E1E4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isinya semua user favorite doank</t>
        </r>
      </text>
    </comment>
    <comment ref="H28" authorId="0" shapeId="0" xr:uid="{428497F1-4B4B-4D3D-92B9-B5A74833BEB8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- Video Preview
</t>
        </r>
        <r>
          <rPr>
            <sz val="9"/>
            <color rgb="FF000000"/>
            <rFont val="Tahoma"/>
            <family val="2"/>
          </rPr>
          <t xml:space="preserve">- Total View
</t>
        </r>
        <r>
          <rPr>
            <sz val="9"/>
            <color rgb="FF000000"/>
            <rFont val="Tahoma"/>
            <family val="2"/>
          </rPr>
          <t>- Icon Visibility</t>
        </r>
      </text>
    </comment>
    <comment ref="B30" authorId="0" shapeId="0" xr:uid="{5D78B04A-377D-4365-88F6-B3D7B8B17469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Public or Private</t>
        </r>
      </text>
    </comment>
    <comment ref="B31" authorId="0" shapeId="0" xr:uid="{E8B32744-786F-4585-99F7-0B85B6C7F52F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isinya semua user like doank</t>
        </r>
      </text>
    </comment>
    <comment ref="H32" authorId="0" shapeId="0" xr:uid="{BCFFD252-86F1-4BCA-A624-6A37EFF2B99D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Video Preview
- Total View
- Icon Visibility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Liementha</author>
  </authors>
  <commentList>
    <comment ref="H12" authorId="0" shapeId="0" xr:uid="{844AB2FD-E3D7-634D-A308-0BB4410A6C4B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1 - Ada link / button
1 - Bisa redirect</t>
        </r>
      </text>
    </comment>
    <comment ref="H13" authorId="0" shapeId="0" xr:uid="{CB5AADF6-6668-4576-B977-62902D23121D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Profile Picture (1)
- Username (1)
- Name (1)
- Follower Count (2)
- Bio (1)
- Follow / Unfollow Button (4)</t>
        </r>
      </text>
    </comment>
    <comment ref="H14" authorId="0" shapeId="0" xr:uid="{8F0229A8-85D2-440E-BB34-DF7BB17D88D3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Video Preview (2)
- Total Like (2)
- Video Description (1)
- Profile Picture (1)
- Username (1)
- Time stamp (1)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Liementha</author>
  </authors>
  <commentList>
    <comment ref="B12" authorId="0" shapeId="0" xr:uid="{25C14C7A-E070-4ECE-8D86-2A7A8F426D2C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Privacy Content (Only mutual follower)</t>
        </r>
      </text>
    </comment>
    <comment ref="B13" authorId="0" shapeId="0" xr:uid="{FC21F267-4CA7-4DD1-8760-D5F66A6455B6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Everyone
- Friends Only
- No One</t>
        </r>
      </text>
    </comment>
    <comment ref="B14" authorId="0" shapeId="0" xr:uid="{E4D49CFB-56E3-4E02-88CF-2CD4A11B262D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Semua yg berhubungan dengan akun di delete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Liementha</author>
    <author>Catherine Alyssa Rapito</author>
  </authors>
  <commentList>
    <comment ref="B13" authorId="0" shapeId="0" xr:uid="{E0448057-3BA8-49FD-BD82-2F5661C6B6B6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cek di video detail juga</t>
        </r>
      </text>
    </comment>
    <comment ref="B14" authorId="1" shapeId="0" xr:uid="{7F0F8E31-5205-4831-B4F7-2003E7D29AD5}">
      <text>
        <r>
          <rPr>
            <b/>
            <sz val="9"/>
            <color indexed="81"/>
            <rFont val="Tahoma"/>
            <family val="2"/>
          </rPr>
          <t>Catherine Alyssa Rapito:</t>
        </r>
        <r>
          <rPr>
            <sz val="9"/>
            <color indexed="81"/>
            <rFont val="Tahoma"/>
            <family val="2"/>
          </rPr>
          <t xml:space="preserve">
Bisa Public/Friends Only/Private</t>
        </r>
      </text>
    </comment>
    <comment ref="B18" authorId="0" shapeId="0" xr:uid="{45FECF5A-B29D-4442-9005-065D18F21DCC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Video yang diupload harus dihapus</t>
        </r>
      </text>
    </comment>
    <comment ref="B19" authorId="1" shapeId="0" xr:uid="{E8554D81-DA4D-4FC7-B2C5-EF30C586C1FA}">
      <text>
        <r>
          <rPr>
            <b/>
            <sz val="9"/>
            <color indexed="81"/>
            <rFont val="Tahoma"/>
            <family val="2"/>
          </rPr>
          <t>Catherine Alyssa Rapito:</t>
        </r>
        <r>
          <rPr>
            <sz val="9"/>
            <color indexed="81"/>
            <rFont val="Tahoma"/>
            <family val="2"/>
          </rPr>
          <t xml:space="preserve">
Must be fully uploaded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Liementha</author>
  </authors>
  <commentList>
    <comment ref="H8" authorId="0" shapeId="0" xr:uid="{E20CC8DF-A19A-49C7-9AB2-F25E2340CD97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1 - Ada link / button
1 - Bisa redirect</t>
        </r>
      </text>
    </comment>
    <comment ref="H9" authorId="0" shapeId="0" xr:uid="{178196AA-5FA2-486F-A1CD-482FEE0E2793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Thumbnail (2)
- Description (1)
- Privacy (1)
- Views (2)
- Likes (2)
- Comments (2)
- Edit Button (1)
- Delete Button (1)</t>
        </r>
      </text>
    </comment>
    <comment ref="H11" authorId="0" shapeId="0" xr:uid="{7A77A6E4-9B27-4DA6-9B09-9328E167804D}">
      <text>
        <r>
          <rPr>
            <b/>
            <sz val="9"/>
            <color indexed="81"/>
            <rFont val="Tahoma"/>
            <family val="2"/>
          </rPr>
          <t>Steven Liementha:</t>
        </r>
        <r>
          <rPr>
            <sz val="9"/>
            <color indexed="81"/>
            <rFont val="Tahoma"/>
            <family val="2"/>
          </rPr>
          <t xml:space="preserve">
- Thumbnail (2)
- Description (1)
- Last Updated Date (1)
- Edit Button (1)
- Delete Button (1)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Liementha</author>
  </authors>
  <commentList>
    <comment ref="B7" authorId="0" shapeId="0" xr:uid="{9397AC4E-A720-4835-B8D3-C211EFA94C79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using gRPC</t>
        </r>
      </text>
    </comment>
    <comment ref="H8" authorId="0" shapeId="0" xr:uid="{4AFEAF8F-328D-8F43-B97E-73074A81C0AF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1 - Ada link / button
1 - Bisa redirect</t>
        </r>
      </text>
    </comment>
    <comment ref="H9" authorId="0" shapeId="0" xr:uid="{5D37D879-8FC6-4F93-978C-8C083F3DB391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- Sender Name (1)
</t>
        </r>
        <r>
          <rPr>
            <sz val="9"/>
            <color rgb="FF000000"/>
            <rFont val="Tahoma"/>
            <family val="2"/>
          </rPr>
          <t xml:space="preserve">- Message Preview (1)
</t>
        </r>
        <r>
          <rPr>
            <sz val="9"/>
            <color rgb="FF000000"/>
            <rFont val="Tahoma"/>
            <family val="2"/>
          </rPr>
          <t>- Notification Redirect (2)</t>
        </r>
      </text>
    </comment>
    <comment ref="H14" authorId="0" shapeId="0" xr:uid="{273CC928-0C86-4804-B69E-50CB1D135DAD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- Profile Picture (1)
</t>
        </r>
        <r>
          <rPr>
            <sz val="9"/>
            <color rgb="FF000000"/>
            <rFont val="Tahoma"/>
            <family val="2"/>
          </rPr>
          <t xml:space="preserve">- Username (1)
</t>
        </r>
        <r>
          <rPr>
            <sz val="9"/>
            <color rgb="FF000000"/>
            <rFont val="Tahoma"/>
            <family val="2"/>
          </rPr>
          <t>- Latest Message Preview (2)</t>
        </r>
      </text>
    </comment>
    <comment ref="H26" authorId="0" shapeId="0" xr:uid="{E8411371-97C6-41F0-AB4D-3776AD225E29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- Profile Picture (1)
</t>
        </r>
        <r>
          <rPr>
            <sz val="9"/>
            <color rgb="FF000000"/>
            <rFont val="Tahoma"/>
            <family val="2"/>
          </rPr>
          <t xml:space="preserve">- Username (1)
</t>
        </r>
        <r>
          <rPr>
            <sz val="9"/>
            <color rgb="FF000000"/>
            <rFont val="Tahoma"/>
            <family val="2"/>
          </rPr>
          <t>- Name (1)</t>
        </r>
      </text>
    </comment>
    <comment ref="B27" authorId="0" shapeId="0" xr:uid="{CD135C73-2A6F-40DC-8577-34F29288A6AE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Show Video Thumbnail</t>
        </r>
      </text>
    </comment>
    <comment ref="H29" authorId="0" shapeId="0" xr:uid="{0F7E56EA-D388-4C7D-B2A8-DE1BF196D932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- Message (1)
</t>
        </r>
        <r>
          <rPr>
            <sz val="9"/>
            <color rgb="FF000000"/>
            <rFont val="Tahoma"/>
            <family val="2"/>
          </rPr>
          <t xml:space="preserve">- Timestamp (1)
</t>
        </r>
        <r>
          <rPr>
            <sz val="9"/>
            <color rgb="FF000000"/>
            <rFont val="Tahoma"/>
            <family val="2"/>
          </rPr>
          <t xml:space="preserve">- Seen / Sent Status (3)
</t>
        </r>
      </text>
    </comment>
    <comment ref="B31" authorId="0" shapeId="0" xr:uid="{2CC960B0-A40E-4420-B34C-CD64F9B7866E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[username] is typing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Liementha</author>
  </authors>
  <commentList>
    <comment ref="H9" authorId="0" shapeId="0" xr:uid="{AE953DCD-273D-1A4C-9CA8-FDE5E3C93766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1 - Ada link / button
</t>
        </r>
        <r>
          <rPr>
            <sz val="9"/>
            <color rgb="FF000000"/>
            <rFont val="Tahoma"/>
            <family val="2"/>
          </rPr>
          <t>1 - Bisa redirect</t>
        </r>
      </text>
    </comment>
    <comment ref="H10" authorId="0" shapeId="0" xr:uid="{E5FF3A38-B7A6-4202-9102-1828BDFE7733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- Profile Picture (2)
- Username (1)
- Live Description (1)
- Live Thumbnail (1)
- Live Title (1)
- Number of user (3)</t>
        </r>
      </text>
    </comment>
    <comment ref="H14" authorId="0" shapeId="0" xr:uid="{375BF49B-8598-487E-81FA-AD705EBAFD2C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- Profile Picture (2)
</t>
        </r>
        <r>
          <rPr>
            <sz val="9"/>
            <color rgb="FF000000"/>
            <rFont val="Tahoma"/>
            <family val="2"/>
          </rPr>
          <t xml:space="preserve">- Username (1)
</t>
        </r>
        <r>
          <rPr>
            <sz val="9"/>
            <color rgb="FF000000"/>
            <rFont val="Tahoma"/>
            <family val="2"/>
          </rPr>
          <t xml:space="preserve">- Name (1)
</t>
        </r>
        <r>
          <rPr>
            <sz val="9"/>
            <color rgb="FF000000"/>
            <rFont val="Tahoma"/>
            <family val="2"/>
          </rPr>
          <t>- Live Description (1)</t>
        </r>
      </text>
    </comment>
    <comment ref="B16" authorId="0" shapeId="0" xr:uid="{994E9B35-B6F7-41DC-AC37-DFC552438520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 Detail</t>
        </r>
      </text>
    </comment>
    <comment ref="B17" authorId="0" shapeId="0" xr:uid="{7C92FCA8-3C4B-415E-BD9C-CAB8881CB512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 Detail</t>
        </r>
      </text>
    </comment>
    <comment ref="B18" authorId="0" shapeId="0" xr:uid="{FFA192C9-79A2-45C4-8033-7AF290D437CC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 Details</t>
        </r>
      </text>
    </comment>
    <comment ref="B19" authorId="0" shapeId="0" xr:uid="{09889865-93EE-4968-A184-38BC3F216ACB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 Details</t>
        </r>
      </text>
    </comment>
    <comment ref="B20" authorId="0" shapeId="0" xr:uid="{C262C409-B26E-4D31-BC63-A1999CB49F27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 Details</t>
        </r>
      </text>
    </comment>
    <comment ref="H21" authorId="0" shapeId="0" xr:uid="{77BE184F-C5A9-4419-AB1D-515FE3F69A35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- Profile Picture (2)
</t>
        </r>
        <r>
          <rPr>
            <sz val="9"/>
            <color rgb="FF000000"/>
            <rFont val="Tahoma"/>
            <family val="2"/>
          </rPr>
          <t xml:space="preserve">- Username (1)
</t>
        </r>
        <r>
          <rPr>
            <sz val="9"/>
            <color rgb="FF000000"/>
            <rFont val="Tahoma"/>
            <family val="2"/>
          </rPr>
          <t>- Message (1)</t>
        </r>
      </text>
    </comment>
    <comment ref="B30" authorId="0" shapeId="0" xr:uid="{6B35B8DB-2E86-4327-97E8-1877BE6B271A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 Controls</t>
        </r>
      </text>
    </comment>
    <comment ref="B31" authorId="0" shapeId="0" xr:uid="{7B752BE7-3776-403F-A1DC-7976AC9EB5C6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 Control</t>
        </r>
      </text>
    </comment>
    <comment ref="B32" authorId="0" shapeId="0" xr:uid="{9154936E-2960-4CF1-A7E2-8B1C616DE5AB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 Controls</t>
        </r>
      </text>
    </comment>
    <comment ref="B33" authorId="0" shapeId="0" xr:uid="{6ED09A40-02D1-4BA1-A8F4-17B7AFD57062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 Controls</t>
        </r>
      </text>
    </comment>
    <comment ref="B34" authorId="0" shapeId="0" xr:uid="{46B16129-BC0E-464A-9DCE-61540F54D192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 Controls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Catherine Alyssa</author>
  </authors>
  <commentList>
    <comment ref="B4" authorId="0" shapeId="0" xr:uid="{AFA972EB-40F5-F548-9E70-CF737F784269}">
      <text>
        <r>
          <rPr>
            <b/>
            <sz val="10"/>
            <color rgb="FF000000"/>
            <rFont val="Tahoma"/>
            <family val="2"/>
          </rPr>
          <t xml:space="preserve">Steven Liementha:
</t>
        </r>
        <r>
          <rPr>
            <sz val="10"/>
            <color rgb="FF000000"/>
            <rFont val="Tahoma"/>
            <family val="2"/>
          </rPr>
          <t xml:space="preserve">Minimal datasetnya di download :D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Liementha</author>
  </authors>
  <commentList>
    <comment ref="B4" authorId="0" shapeId="0" xr:uid="{AC82D06B-0D54-43E1-933C-813868475DFE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camera client</t>
        </r>
      </text>
    </comment>
    <comment ref="B5" authorId="0" shapeId="0" xr:uid="{794BD73E-F39D-AA4B-AEB2-EB71CEC57FDF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harusnya pake mediapipe</t>
        </r>
      </text>
    </comment>
    <comment ref="B9" authorId="0" shapeId="0" xr:uid="{DAC0E49A-6AA2-C547-A0AF-F786B96AE96A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tau alasan pakainya</t>
        </r>
      </text>
    </comment>
    <comment ref="B10" authorId="0" shapeId="0" xr:uid="{8C05C455-317F-6442-A0AB-BBFA583139EC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Kalau performancenya jelek, yang penting mereka tau kenapa jelek</t>
        </r>
      </text>
    </comment>
    <comment ref="B11" authorId="0" shapeId="0" xr:uid="{5EE237B9-FA52-F845-A25C-79E983F599BD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Bisa lakuin prediction</t>
        </r>
      </text>
    </comment>
    <comment ref="B13" authorId="0" shapeId="0" xr:uid="{BFCC5ED4-F12E-A441-A169-19433D54B167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Use Target Word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Liementha</author>
  </authors>
  <commentList>
    <comment ref="B5" authorId="0" shapeId="0" xr:uid="{4FD2D959-0029-704A-9AD9-7EE22C76E773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tau alasan pakainya</t>
        </r>
      </text>
    </comment>
    <comment ref="B6" authorId="0" shapeId="0" xr:uid="{89A4E2F1-8F3C-5944-A399-11F00F73AC30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Kalau performancenya jelek, yang penting mereka tau kenapa jelek</t>
        </r>
      </text>
    </comment>
    <comment ref="B7" authorId="0" shapeId="0" xr:uid="{ABE58F1A-E324-C54D-AF54-E0A946B0E522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Bisa lakuin prediction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Liementha</author>
  </authors>
  <commentList>
    <comment ref="B4" authorId="0" shapeId="0" xr:uid="{F3B59DB0-A08B-B34C-A60F-70ECEB5B044D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expectation: spectogram  + MFCC / dkk</t>
        </r>
      </text>
    </comment>
    <comment ref="B5" authorId="0" shapeId="0" xr:uid="{866CEA9F-D047-9449-908C-2A84A1233CED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tau alasan pakainya
</t>
        </r>
        <r>
          <rPr>
            <sz val="9"/>
            <color rgb="FF000000"/>
            <rFont val="Tahoma"/>
            <family val="2"/>
          </rPr>
          <t>ekspetasi : pake CNN</t>
        </r>
      </text>
    </comment>
    <comment ref="B6" authorId="0" shapeId="0" xr:uid="{EA8170EB-E1A5-224A-9F5F-98F42BA53C3D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Kalau performancenya jelek, yang penting mereka tau kenapa jelek</t>
        </r>
      </text>
    </comment>
    <comment ref="B7" authorId="0" shapeId="0" xr:uid="{7FAD4F46-46C6-304B-967E-8152E26893E7}">
      <text>
        <r>
          <rPr>
            <b/>
            <sz val="9"/>
            <color rgb="FF000000"/>
            <rFont val="Tahoma"/>
            <family val="2"/>
          </rPr>
          <t>Steven Liementha: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Bisa lakuin prediction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Catherine Alyssa</author>
  </authors>
  <commentList>
    <comment ref="B4" authorId="0" shapeId="0" xr:uid="{FADED513-E164-B440-BCBB-4D10D937FBE0}">
      <text>
        <r>
          <rPr>
            <sz val="11"/>
            <color rgb="FF000000"/>
            <rFont val="Calibri"/>
            <family val="2"/>
          </rPr>
          <t xml:space="preserve">4 - Ga ada any/unknown (atau di kecualikan)
</t>
        </r>
        <r>
          <rPr>
            <sz val="11"/>
            <color rgb="FF000000"/>
            <rFont val="Calibri"/>
            <family val="2"/>
          </rPr>
          <t xml:space="preserve">3 - Ada max. 2 any/unknown (yang tdk di kecualikan)
</t>
        </r>
        <r>
          <rPr>
            <sz val="11"/>
            <color rgb="FF000000"/>
            <rFont val="Calibri"/>
            <family val="2"/>
          </rPr>
          <t xml:space="preserve">2 - Ada max. 5 any/unknown (yang tdk di kecualikan)
</t>
        </r>
        <r>
          <rPr>
            <sz val="11"/>
            <color rgb="FF000000"/>
            <rFont val="Calibri"/>
            <family val="2"/>
          </rPr>
          <t xml:space="preserve">1 - Ada &gt; 5 any/unknown
</t>
        </r>
        <r>
          <rPr>
            <sz val="11"/>
            <color rgb="FF000000"/>
            <rFont val="Calibri"/>
            <family val="2"/>
          </rPr>
          <t>0 - Bro ga coding</t>
        </r>
      </text>
    </comment>
    <comment ref="B8" authorId="1" shapeId="0" xr:uid="{F3AAEA3C-D8B4-A848-8283-2BE5B4A0563A}">
      <text>
        <r>
          <rPr>
            <b/>
            <sz val="10"/>
            <color rgb="FF000000"/>
            <rFont val="Tahoma"/>
            <family val="2"/>
          </rPr>
          <t>Catherine Alyssa: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- Ada menggunakan CSS variable
</t>
        </r>
        <r>
          <rPr>
            <sz val="10"/>
            <color rgb="FF000000"/>
            <rFont val="Tahoma"/>
            <family val="2"/>
          </rPr>
          <t xml:space="preserve">- Light/dark mode
</t>
        </r>
        <r>
          <rPr>
            <sz val="10"/>
            <color rgb="FF000000"/>
            <rFont val="Tahoma"/>
            <family val="2"/>
          </rPr>
          <t>- Classes untuk General and Specific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<sst xmlns="http://schemas.openxmlformats.org/spreadsheetml/2006/main" count="952" uniqueCount="403">
  <si>
    <t>Assistant</t>
  </si>
  <si>
    <t>EV</t>
  </si>
  <si>
    <t>Score</t>
  </si>
  <si>
    <t>Description</t>
  </si>
  <si>
    <t>Ga kerjain sama sekali</t>
  </si>
  <si>
    <t>Kerjain minim bet</t>
  </si>
  <si>
    <t>Kerjain tapi tidak mengerti / Kerjain dikit</t>
  </si>
  <si>
    <t>Kerjain + masih error dikit + mengerti</t>
  </si>
  <si>
    <t>gacor + ngerti</t>
  </si>
  <si>
    <t>Weight</t>
  </si>
  <si>
    <t>Realized</t>
  </si>
  <si>
    <t>Harvested</t>
  </si>
  <si>
    <t>General</t>
  </si>
  <si>
    <t>Live Coding</t>
  </si>
  <si>
    <t>Components</t>
  </si>
  <si>
    <t>Login Page</t>
  </si>
  <si>
    <t>Sign up Page</t>
  </si>
  <si>
    <t>Reset Password Page</t>
  </si>
  <si>
    <t>For You Page</t>
  </si>
  <si>
    <t>Following Page</t>
  </si>
  <si>
    <t>Friends Page</t>
  </si>
  <si>
    <t>Profile Page</t>
  </si>
  <si>
    <t>Create Playlist Page</t>
  </si>
  <si>
    <t>Search Page</t>
  </si>
  <si>
    <t>Rich Text</t>
  </si>
  <si>
    <t>Settings Page</t>
  </si>
  <si>
    <t>Advertisement</t>
  </si>
  <si>
    <t>Studio Upload Page</t>
  </si>
  <si>
    <t>Studio Post Page</t>
  </si>
  <si>
    <t>Chat Page</t>
  </si>
  <si>
    <t>Web Knowledge</t>
  </si>
  <si>
    <t>Web Coding Skill</t>
  </si>
  <si>
    <t>AI Knowledge</t>
  </si>
  <si>
    <t>Total</t>
  </si>
  <si>
    <t>ES</t>
  </si>
  <si>
    <t>NW</t>
  </si>
  <si>
    <t>NP</t>
  </si>
  <si>
    <t>NG</t>
  </si>
  <si>
    <t>GS</t>
  </si>
  <si>
    <t>AA</t>
  </si>
  <si>
    <t>Streaming Implementation</t>
  </si>
  <si>
    <t>Notification System</t>
  </si>
  <si>
    <t>Postman Documentation</t>
  </si>
  <si>
    <t>Dockerfile (Frontend)</t>
  </si>
  <si>
    <t>Dockerfile (Backend)</t>
  </si>
  <si>
    <t>Dockerfile (AI)</t>
  </si>
  <si>
    <t>Dockerfile (Envoy)</t>
  </si>
  <si>
    <t>Docker Compose (DB)</t>
  </si>
  <si>
    <t>Docker Compose (Memcached)</t>
  </si>
  <si>
    <t>Docker Compose (Other)</t>
  </si>
  <si>
    <t>MinIO</t>
  </si>
  <si>
    <t>MinIO Bucket Security</t>
  </si>
  <si>
    <t>Lazy Loading</t>
  </si>
  <si>
    <t>Hot Reload (Go)</t>
  </si>
  <si>
    <t>State Management</t>
  </si>
  <si>
    <t>Refresh Token</t>
  </si>
  <si>
    <t>Unit Testing</t>
  </si>
  <si>
    <t>Middleware Efficiency</t>
  </si>
  <si>
    <t>Error Message and Code</t>
  </si>
  <si>
    <t>Hash Password</t>
  </si>
  <si>
    <t>Video Detail</t>
  </si>
  <si>
    <t>Design</t>
  </si>
  <si>
    <t>Link Menu Completeness</t>
  </si>
  <si>
    <t>Active Menu Highlight</t>
  </si>
  <si>
    <t>Independent Scroll</t>
  </si>
  <si>
    <t>Logout</t>
  </si>
  <si>
    <t>Clear History (Individual)</t>
  </si>
  <si>
    <t>Clear History (All)</t>
  </si>
  <si>
    <t>Default Theme</t>
  </si>
  <si>
    <t>Theme</t>
  </si>
  <si>
    <t>Debounce Search</t>
  </si>
  <si>
    <t>Account Detail</t>
  </si>
  <si>
    <t>See more (Following account)</t>
  </si>
  <si>
    <t>Redirect specific user profile</t>
  </si>
  <si>
    <t>Display Link and can redirect (Footer)</t>
  </si>
  <si>
    <t>Page Design</t>
  </si>
  <si>
    <t>Aesthetic</t>
  </si>
  <si>
    <t>Accessibility</t>
  </si>
  <si>
    <t>Error Message</t>
  </si>
  <si>
    <t>Back to Video Just Watched (Profile Page)</t>
  </si>
  <si>
    <t>Page Features</t>
  </si>
  <si>
    <t>Login Logic</t>
  </si>
  <si>
    <t>Google Authentication</t>
  </si>
  <si>
    <t>Redirect after success</t>
  </si>
  <si>
    <t>Email Design</t>
  </si>
  <si>
    <t>Send email with correct content</t>
  </si>
  <si>
    <t>Rate Limit OTP Code</t>
  </si>
  <si>
    <t>Send OTP Code</t>
  </si>
  <si>
    <t>Register Logic</t>
  </si>
  <si>
    <t>Invalidate Session</t>
  </si>
  <si>
    <t>Reset Password Logic</t>
  </si>
  <si>
    <t>Display Components</t>
  </si>
  <si>
    <t>Responsive</t>
  </si>
  <si>
    <t>Loading Skeleton</t>
  </si>
  <si>
    <t>Infinite Scrolling</t>
  </si>
  <si>
    <t>Following Only</t>
  </si>
  <si>
    <t>Total Detail</t>
  </si>
  <si>
    <t>Friends Only</t>
  </si>
  <si>
    <t>Display User Details</t>
  </si>
  <si>
    <t>Edit User Profile</t>
  </si>
  <si>
    <t>Message Button Redirect</t>
  </si>
  <si>
    <t>Create Playlist Button Redirect</t>
  </si>
  <si>
    <t>Setting Button Redirect</t>
  </si>
  <si>
    <t>Share Button Functional</t>
  </si>
  <si>
    <t>Video Tab Visibility</t>
  </si>
  <si>
    <t>Playlist Card Details</t>
  </si>
  <si>
    <t>Playlist Details</t>
  </si>
  <si>
    <t>Playlist custom order</t>
  </si>
  <si>
    <t>Redirect to Video Detail (Playlist)</t>
  </si>
  <si>
    <t>Favorite Tab Visibility</t>
  </si>
  <si>
    <t>Favorite Content</t>
  </si>
  <si>
    <t>Favorite Video Details</t>
  </si>
  <si>
    <t>Favorite Video Redirect</t>
  </si>
  <si>
    <t>Like Tab Visibility</t>
  </si>
  <si>
    <t>Like Video Redirect</t>
  </si>
  <si>
    <t>Private Account (Video and Details)</t>
  </si>
  <si>
    <t>Add Video to Playlist</t>
  </si>
  <si>
    <t>Remove Video to Playlist</t>
  </si>
  <si>
    <t>Reorder Video</t>
  </si>
  <si>
    <t>Submit Logic</t>
  </si>
  <si>
    <t>Search Algorithm</t>
  </si>
  <si>
    <t>Video Card Details</t>
  </si>
  <si>
    <t>User Card Details</t>
  </si>
  <si>
    <t>Video Card Redirect</t>
  </si>
  <si>
    <t>User Card Redirect</t>
  </si>
  <si>
    <t>Hash Tag (Validation)</t>
  </si>
  <si>
    <t>Mention (Validation)</t>
  </si>
  <si>
    <t>Enable / Disable Notification (New Follower)</t>
  </si>
  <si>
    <t>Enable / Disable Notification (Message)</t>
  </si>
  <si>
    <t>Enable / Disable Notification (Mentions)</t>
  </si>
  <si>
    <t>Chat Restriction Setting</t>
  </si>
  <si>
    <t>Delete Account Permanently</t>
  </si>
  <si>
    <t>Reset Password Page (Link)</t>
  </si>
  <si>
    <t>Posting Logic</t>
  </si>
  <si>
    <t>Edit Post</t>
  </si>
  <si>
    <t>Edit Draft</t>
  </si>
  <si>
    <t>Delete Post</t>
  </si>
  <si>
    <t>Delete Draft</t>
  </si>
  <si>
    <t>Sort Post By Like (Ascending)</t>
  </si>
  <si>
    <t>Sort Post By Like (Descending)</t>
  </si>
  <si>
    <t>Sort Post By View (Ascending)</t>
  </si>
  <si>
    <t>Sort Post By View (Descending)</t>
  </si>
  <si>
    <t>Sort Post By Comments (Ascending)</t>
  </si>
  <si>
    <t>Sort Post By Comments (Descending)</t>
  </si>
  <si>
    <t>Search by Description</t>
  </si>
  <si>
    <t>User Send Message</t>
  </si>
  <si>
    <t>Notification Detail</t>
  </si>
  <si>
    <t>Notification Web</t>
  </si>
  <si>
    <t>Restriction Chat</t>
  </si>
  <si>
    <t>Infinite Scrolling (Chat Window)</t>
  </si>
  <si>
    <t>Infinite Scrolling (Message List)</t>
  </si>
  <si>
    <t>Loading Skeleton (Chat Window)</t>
  </si>
  <si>
    <t>Loading Skeleton (Message List)</t>
  </si>
  <si>
    <t>Open Chat Window (When clicking conversation)</t>
  </si>
  <si>
    <t>Search by Username</t>
  </si>
  <si>
    <t>Send Text</t>
  </si>
  <si>
    <t>Send Image</t>
  </si>
  <si>
    <t>Send Video</t>
  </si>
  <si>
    <t>Display Chat Window Detail</t>
  </si>
  <si>
    <t>Tiktok Video Share</t>
  </si>
  <si>
    <t>Tiktok Video Share Redirect</t>
  </si>
  <si>
    <t>Chat Message Detail</t>
  </si>
  <si>
    <t>User Unsend Message</t>
  </si>
  <si>
    <t>Display User Currently Typing</t>
  </si>
  <si>
    <t>Dataset Preparation</t>
  </si>
  <si>
    <t>Filter</t>
  </si>
  <si>
    <t>Open Camera</t>
  </si>
  <si>
    <t>Dataset Preprocessing</t>
  </si>
  <si>
    <t>Model Creation</t>
  </si>
  <si>
    <t>AI Performance</t>
  </si>
  <si>
    <t>AI Testing</t>
  </si>
  <si>
    <t>Model Backend Implementation</t>
  </si>
  <si>
    <t>AI Implementation in Web</t>
  </si>
  <si>
    <t>Web Implementation (Video Description)</t>
  </si>
  <si>
    <t>Preprocessing</t>
  </si>
  <si>
    <t>Speech to Text (Text)</t>
  </si>
  <si>
    <t>Speech to Text (Timestamp)</t>
  </si>
  <si>
    <t>No</t>
  </si>
  <si>
    <t>Web Knowledge 1</t>
  </si>
  <si>
    <t>Web Knowledge 2</t>
  </si>
  <si>
    <t>Web Knowledge 3</t>
  </si>
  <si>
    <t>Web Knowledge 4</t>
  </si>
  <si>
    <t>Typescript Usage</t>
  </si>
  <si>
    <t>Code Structure (Frontend)</t>
  </si>
  <si>
    <t>Code Structure (Backend)</t>
  </si>
  <si>
    <t>Code Structure (AI)</t>
  </si>
  <si>
    <t>AI Knowledge 1</t>
  </si>
  <si>
    <t>AI Knowledge 2</t>
  </si>
  <si>
    <t>AI Knowledge 3</t>
  </si>
  <si>
    <t>AI Knowledge 4</t>
  </si>
  <si>
    <t>Type</t>
  </si>
  <si>
    <t>Type Name</t>
  </si>
  <si>
    <t>Frontend</t>
  </si>
  <si>
    <t>Backend</t>
  </si>
  <si>
    <t>Live Code</t>
  </si>
  <si>
    <t>AT</t>
  </si>
  <si>
    <t>CK</t>
  </si>
  <si>
    <t>CY</t>
  </si>
  <si>
    <t>FB</t>
  </si>
  <si>
    <t>IL</t>
  </si>
  <si>
    <t>IV</t>
  </si>
  <si>
    <t>KF</t>
  </si>
  <si>
    <t>KN</t>
  </si>
  <si>
    <t>MX</t>
  </si>
  <si>
    <t>NV</t>
  </si>
  <si>
    <t>OI</t>
  </si>
  <si>
    <t>OW</t>
  </si>
  <si>
    <t>PC</t>
  </si>
  <si>
    <t>RL</t>
  </si>
  <si>
    <t>VW</t>
  </si>
  <si>
    <t>WE</t>
  </si>
  <si>
    <t>AI Var 1 - SVilter</t>
  </si>
  <si>
    <t>AI Var 2 - SVign</t>
  </si>
  <si>
    <t>AI Var 3 - SaVe</t>
  </si>
  <si>
    <t>AI Var 4 - ShaVam</t>
  </si>
  <si>
    <t>AI Var 5 - SVideo Captions</t>
  </si>
  <si>
    <t>TPA Web Score</t>
  </si>
  <si>
    <t>TPA Web Design and Technology
Generation 25-1
SurVace</t>
  </si>
  <si>
    <t>Score Summary</t>
  </si>
  <si>
    <t>Grand Total</t>
  </si>
  <si>
    <t>AI Case Variation</t>
  </si>
  <si>
    <t>Maximum</t>
  </si>
  <si>
    <t>Requirement</t>
  </si>
  <si>
    <t>Containerization</t>
  </si>
  <si>
    <t>Security</t>
  </si>
  <si>
    <t xml:space="preserve"> </t>
  </si>
  <si>
    <t>General &amp; Technologies</t>
  </si>
  <si>
    <t>Follow Git Best Practices</t>
  </si>
  <si>
    <t>Max</t>
  </si>
  <si>
    <t>Features</t>
  </si>
  <si>
    <t>Variables Ratio</t>
  </si>
  <si>
    <t>Rounded Consistency</t>
  </si>
  <si>
    <t>Padding</t>
  </si>
  <si>
    <t>Subtotal</t>
  </si>
  <si>
    <t xml:space="preserve">            </t>
  </si>
  <si>
    <t>AI Var 1 - Svilter</t>
  </si>
  <si>
    <t>AI</t>
  </si>
  <si>
    <t>Live Page</t>
  </si>
  <si>
    <t>Configure and explain Envoy</t>
  </si>
  <si>
    <t>Implement and explain Microservice</t>
  </si>
  <si>
    <t>Explain Containerization</t>
  </si>
  <si>
    <t>Implement gRPC</t>
  </si>
  <si>
    <t>Explain gRPC</t>
  </si>
  <si>
    <t xml:space="preserve">Explain gRPC-Web </t>
  </si>
  <si>
    <t>Implement gRPC-Web</t>
  </si>
  <si>
    <t>Implement Database-per-Service</t>
  </si>
  <si>
    <t>Explain Database-per-Service</t>
  </si>
  <si>
    <t>Proto file and Generated File Management</t>
  </si>
  <si>
    <t>Automation</t>
  </si>
  <si>
    <t>Biome and ESLint</t>
  </si>
  <si>
    <t>Search Redirect</t>
  </si>
  <si>
    <t>Modal Following</t>
  </si>
  <si>
    <t>Modal Follower</t>
  </si>
  <si>
    <t>Video Tab Details</t>
  </si>
  <si>
    <t>Like Tab Content</t>
  </si>
  <si>
    <t>Like Video Tab Details</t>
  </si>
  <si>
    <t>Video Tab Redirect</t>
  </si>
  <si>
    <t>Following / Follower Detail Modal</t>
  </si>
  <si>
    <t>Back Button</t>
  </si>
  <si>
    <t>Account Content Privacy</t>
  </si>
  <si>
    <t>Jaro Distance</t>
  </si>
  <si>
    <t>Live Stream Detail</t>
  </si>
  <si>
    <t>Live Video Stream</t>
  </si>
  <si>
    <t>Join Notification</t>
  </si>
  <si>
    <t>Like Stream</t>
  </si>
  <si>
    <t>Share Stream</t>
  </si>
  <si>
    <t>Start / Stop Live Stream</t>
  </si>
  <si>
    <t>Share Screen</t>
  </si>
  <si>
    <t>Enable / Disable Camera</t>
  </si>
  <si>
    <t>Show Streamer Screen</t>
  </si>
  <si>
    <t>Show Streamer Camera</t>
  </si>
  <si>
    <t>Implement and explain Hexagonal Architecture</t>
  </si>
  <si>
    <t>Implement and explain Paseto</t>
  </si>
  <si>
    <t>Toggle Follow Button Visibility</t>
  </si>
  <si>
    <t>Implementation Middleware on Frontend</t>
  </si>
  <si>
    <t>Link to Other Pages</t>
  </si>
  <si>
    <t>Form Completeness</t>
  </si>
  <si>
    <t>Validate Email is Unique</t>
  </si>
  <si>
    <t>Validate Username Unique</t>
  </si>
  <si>
    <t>Validate OTP Code is Correct</t>
  </si>
  <si>
    <t>Validate if OTP has Expired (10 Minutes)</t>
  </si>
  <si>
    <t>Cache Data for Backend</t>
  </si>
  <si>
    <t>Cache Data for Frontend</t>
  </si>
  <si>
    <t>Validate New Password is Different</t>
  </si>
  <si>
    <t>"More" Drop down</t>
  </si>
  <si>
    <t>Link Menu Completeness (Authorized)</t>
  </si>
  <si>
    <t>Redirect to Creator's Profile Page</t>
  </si>
  <si>
    <t>Display Live badge (if Live Stream)</t>
  </si>
  <si>
    <t>Redirect to Live Stream Detail Page</t>
  </si>
  <si>
    <t>Display Like, Comment, Share, Favorite Count</t>
  </si>
  <si>
    <t>Expand Comment with 'See More'</t>
  </si>
  <si>
    <t>Expand Video description with 'See More'</t>
  </si>
  <si>
    <t>Video description with Rich Text</t>
  </si>
  <si>
    <t>Comment with Rich Text</t>
  </si>
  <si>
    <t>View Replies</t>
  </si>
  <si>
    <t>Comment Button to Toggle Comment Section</t>
  </si>
  <si>
    <t>Share Button to Open Share Section</t>
  </si>
  <si>
    <t>Can Copy Video URL</t>
  </si>
  <si>
    <t xml:space="preserve">Download Video </t>
  </si>
  <si>
    <t>Next and Previous Button to Navigate</t>
  </si>
  <si>
    <t>Display List of following account (if Authorized)</t>
  </si>
  <si>
    <t>Scroll Snap</t>
  </si>
  <si>
    <t>Sidebar Component</t>
  </si>
  <si>
    <t>Video</t>
  </si>
  <si>
    <t>Comment</t>
  </si>
  <si>
    <t>Toggle Like Button for Comments and Replies</t>
  </si>
  <si>
    <t>Send Comments and Replies</t>
  </si>
  <si>
    <t>Unsend Comments and Replies</t>
  </si>
  <si>
    <t>Display Likes Count for Comments and Replies</t>
  </si>
  <si>
    <t>Share</t>
  </si>
  <si>
    <t>'Add to Favorite' Button can Toggle Favorites</t>
  </si>
  <si>
    <t>Share using Message</t>
  </si>
  <si>
    <t>Like Button can Toggle Video Like</t>
  </si>
  <si>
    <t>Display Profile Picture, Username, Timestamp</t>
  </si>
  <si>
    <t>Display Profile Picture, Username</t>
  </si>
  <si>
    <t>Can Navigate using Scroll with Mouse</t>
  </si>
  <si>
    <t>Prioritize New and Popular Videos</t>
  </si>
  <si>
    <t>Display Follow Button to Follow Creator (if Not Following)</t>
  </si>
  <si>
    <t>Navigation and Caching</t>
  </si>
  <si>
    <t>Display Search History</t>
  </si>
  <si>
    <t>Occasionally Mix Random Other Videos</t>
  </si>
  <si>
    <t>Shuffle with Weighted Randomization</t>
  </si>
  <si>
    <t>Score Detail</t>
  </si>
  <si>
    <t>Redirect to Login Page if Unauthorized</t>
  </si>
  <si>
    <t>Recommend Never Watched Videos (if Authorized)</t>
  </si>
  <si>
    <t>Display List of Random User (No Following)</t>
  </si>
  <si>
    <t>Display Live Account List</t>
  </si>
  <si>
    <t>Smart Algorithm (Following Only)</t>
  </si>
  <si>
    <t>Redirect to Respective Profile Page</t>
  </si>
  <si>
    <t>Redirect to Respective Live Stream Detail</t>
  </si>
  <si>
    <t>Redirect to Other Page if Authenticated</t>
  </si>
  <si>
    <t>Other Pages Redirects Here if not Authenticated</t>
  </si>
  <si>
    <t>List of Random User (Not Mutual)</t>
  </si>
  <si>
    <t>Smart Algorithm (Friends Only)</t>
  </si>
  <si>
    <t>Display Profile Buttons</t>
  </si>
  <si>
    <t>Follow/Unfollow Button is Functional</t>
  </si>
  <si>
    <t>Hash Tag (Bold)</t>
  </si>
  <si>
    <t>Hash Tag (Redirect)</t>
  </si>
  <si>
    <t>User Mentions (Bold)</t>
  </si>
  <si>
    <t>User Mentions (Redirect)</t>
  </si>
  <si>
    <t>Play random advertisement every n times</t>
  </si>
  <si>
    <t>Don't save Video Count in Database</t>
  </si>
  <si>
    <t>Upload Video with MinIO</t>
  </si>
  <si>
    <t>Display Progress Bar (Now MB/Max MB)</t>
  </si>
  <si>
    <t>Display Duration</t>
  </si>
  <si>
    <t>Add Description with Rich Text</t>
  </si>
  <si>
    <t>Select or Upload Thumbnail</t>
  </si>
  <si>
    <t>Can Enable/Disable Comments</t>
  </si>
  <si>
    <t>Can Set Video Visibility</t>
  </si>
  <si>
    <t>Schedule Video to be Posted</t>
  </si>
  <si>
    <t>Save Video as Draft</t>
  </si>
  <si>
    <t>Discard the Upload</t>
  </si>
  <si>
    <t>Display Drafted Videos</t>
  </si>
  <si>
    <t>Display Published Posts</t>
  </si>
  <si>
    <t>Display Published Video Details</t>
  </si>
  <si>
    <t>Display Draft Video Details</t>
  </si>
  <si>
    <t>Real-time Face Detection</t>
  </si>
  <si>
    <t>Upload Video in Upload Page</t>
  </si>
  <si>
    <t>Record Video with Filter</t>
  </si>
  <si>
    <t xml:space="preserve">Filter Interactions </t>
  </si>
  <si>
    <t>Show Message if Successful</t>
  </si>
  <si>
    <t>Show Message if Wrong</t>
  </si>
  <si>
    <t>Web Implementation (Comments)</t>
  </si>
  <si>
    <t>Web Implementation (Replies)</t>
  </si>
  <si>
    <t>Translation (Language 1)</t>
  </si>
  <si>
    <t>Translation (Language 2)</t>
  </si>
  <si>
    <t>Show Captions</t>
  </si>
  <si>
    <t>Enable Captions Option</t>
  </si>
  <si>
    <t>Captions Toggle</t>
  </si>
  <si>
    <t>CSS Styling</t>
  </si>
  <si>
    <t>Display Active Live Streams List</t>
  </si>
  <si>
    <t>Redirect when Joining Stream</t>
  </si>
  <si>
    <t>Display Live Stream Details</t>
  </si>
  <si>
    <t>Display List Details</t>
  </si>
  <si>
    <t>Number of People Join (Real-time)</t>
  </si>
  <si>
    <t>Display Total Like (Real-time)</t>
  </si>
  <si>
    <t>Display Number of People Join (Real-time)</t>
  </si>
  <si>
    <t>Display Live Duration (Real-time)</t>
  </si>
  <si>
    <t>Set or Edit Live Stream Title</t>
  </si>
  <si>
    <t>Live</t>
  </si>
  <si>
    <t>Display Chat (Real-time)</t>
  </si>
  <si>
    <t>Display Chat Detail</t>
  </si>
  <si>
    <t>Send Message to Chat</t>
  </si>
  <si>
    <t>Live Stream Controls</t>
  </si>
  <si>
    <t>Live Duration (Real-time)</t>
  </si>
  <si>
    <t>Total Like (Real-time)</t>
  </si>
  <si>
    <t>Explain Streaming</t>
  </si>
  <si>
    <t>Real-time Chat</t>
  </si>
  <si>
    <t>Message List</t>
  </si>
  <si>
    <t>Display List of Conversations</t>
  </si>
  <si>
    <t>Chat Window</t>
  </si>
  <si>
    <t>Navigate Videos in Order</t>
  </si>
  <si>
    <t>Validate Public Post Only</t>
  </si>
  <si>
    <t>Drag and Drop to Reorder</t>
  </si>
  <si>
    <t>Input Playlist Name for Form</t>
  </si>
  <si>
    <t>Explain Jaro Distance</t>
  </si>
  <si>
    <t>Env File</t>
  </si>
  <si>
    <t>Docker Compose (Minio)</t>
  </si>
  <si>
    <t>Resend OTP Code</t>
  </si>
  <si>
    <t>Edit Profile Picture</t>
  </si>
  <si>
    <t>Real-time Hand Detection</t>
  </si>
  <si>
    <t>DO NOT Push Env File</t>
  </si>
  <si>
    <t>Implemention Middleware on 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</si>
</sst>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24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1"/>
      <color theme="1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 (Body)"/>
    </font>
    <font>
      <b/>
      <sz val="11"/>
      <color theme="0"/>
      <name val="Calibri (Body)"/>
    </font>
    <font>
      <sz val="11"/>
      <color theme="1"/>
      <name val="Calibri (Body)"/>
    </font>
    <font>
      <b/>
      <i/>
      <sz val="11"/>
      <color theme="1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FF0000"/>
        <bgColor rgb="FFD8D8D8"/>
      </patternFill>
    </fill>
    <fill>
      <patternFill patternType="solid">
        <fgColor rgb="FFFF0000"/>
        <bgColor rgb="FFE2EFD9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4C6E7"/>
      </patternFill>
    </fill>
    <fill>
      <patternFill patternType="solid">
        <fgColor theme="1" tint="4.9989318521683403E-2"/>
        <bgColor rgb="FF000000"/>
      </patternFill>
    </fill>
    <fill>
      <patternFill patternType="solid">
        <fgColor theme="1"/>
        <bgColor rgb="FF70AD47"/>
      </patternFill>
    </fill>
    <fill>
      <patternFill patternType="solid">
        <fgColor theme="0" tint="-0.14999847407452621"/>
        <bgColor rgb="FFE2EFD9"/>
      </patternFill>
    </fill>
    <fill>
      <patternFill patternType="solid">
        <fgColor theme="0" tint="-0.34998626667073579"/>
        <bgColor rgb="FFF4B083"/>
      </patternFill>
    </fill>
    <fill>
      <patternFill patternType="solid">
        <fgColor theme="0" tint="-0.34998626667073579"/>
        <bgColor rgb="FFFFD965"/>
      </patternFill>
    </fill>
    <fill>
      <patternFill patternType="solid">
        <fgColor theme="0" tint="-0.34998626667073579"/>
        <bgColor rgb="FF92D050"/>
      </patternFill>
    </fill>
    <fill>
      <patternFill patternType="solid">
        <fgColor theme="0" tint="-0.34998626667073579"/>
        <bgColor rgb="FFB4C6E7"/>
      </patternFill>
    </fill>
    <fill>
      <patternFill patternType="solid">
        <fgColor theme="0" tint="-0.14999847407452621"/>
        <bgColor rgb="FFFBE4D5"/>
      </patternFill>
    </fill>
    <fill>
      <patternFill patternType="solid">
        <fgColor theme="0" tint="-0.14999847407452621"/>
        <bgColor rgb="FFC5E0B3"/>
      </patternFill>
    </fill>
    <fill>
      <patternFill patternType="solid">
        <fgColor theme="0" tint="-0.14999847407452621"/>
        <bgColor rgb="FFFFE598"/>
      </patternFill>
    </fill>
    <fill>
      <patternFill patternType="solid">
        <fgColor theme="0" tint="-0.14999847407452621"/>
        <bgColor rgb="FFB4C6E7"/>
      </patternFill>
    </fill>
    <fill>
      <patternFill patternType="solid">
        <fgColor theme="0" tint="-0.34998626667073579"/>
        <bgColor rgb="FF8EAADB"/>
      </patternFill>
    </fill>
    <fill>
      <patternFill patternType="solid">
        <fgColor theme="0" tint="-0.34998626667073579"/>
        <bgColor rgb="FFFFE598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rgb="FFA5A5A5"/>
      </patternFill>
    </fill>
    <fill>
      <patternFill patternType="solid">
        <fgColor theme="4" tint="0.39997558519241921"/>
        <bgColor rgb="FFA5A5A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rgb="FFA5A5A5"/>
      </patternFill>
    </fill>
    <fill>
      <patternFill patternType="solid">
        <fgColor theme="0"/>
        <bgColor rgb="FFD8D8D8"/>
      </patternFill>
    </fill>
    <fill>
      <patternFill patternType="solid">
        <fgColor theme="4" tint="0.79998168889431442"/>
        <bgColor rgb="FFE2EFD9"/>
      </patternFill>
    </fill>
    <fill>
      <patternFill patternType="solid">
        <fgColor rgb="FF2F75B5"/>
        <bgColor rgb="FFA5A5A5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rgb="FFFFE598"/>
      </patternFill>
    </fill>
    <fill>
      <patternFill patternType="solid">
        <fgColor theme="4" tint="0.39997558519241921"/>
        <bgColor rgb="FFFFD965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70AD47"/>
      </patternFill>
    </fill>
    <fill>
      <patternFill patternType="solid">
        <fgColor theme="4"/>
        <bgColor rgb="FFA5A5A5"/>
      </patternFill>
    </fill>
    <fill>
      <patternFill patternType="solid">
        <fgColor theme="2"/>
        <bgColor rgb="FFD8D8D8"/>
      </patternFill>
    </fill>
    <fill>
      <patternFill patternType="solid">
        <fgColor theme="4" tint="0.59999389629810485"/>
        <bgColor rgb="FFA5A5A5"/>
      </patternFill>
    </fill>
    <fill>
      <patternFill patternType="solid">
        <fgColor rgb="FFC00000"/>
        <bgColor rgb="FFE2EFD9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theme="1"/>
      </bottom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 style="thin">
        <color theme="1"/>
      </right>
      <top style="thin">
        <color theme="1"/>
      </top>
      <bottom style="double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0" fontId="10" fillId="0" borderId="0"/>
  </cellStyleXfs>
  <cellXfs count="250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" fontId="3" fillId="5" borderId="4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7" borderId="0" xfId="0" applyFill="1"/>
    <xf numFmtId="0" fontId="10" fillId="7" borderId="0" xfId="0" applyFont="1" applyFill="1"/>
    <xf numFmtId="0" fontId="5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13" fillId="10" borderId="0" xfId="0" applyFont="1" applyFill="1"/>
    <xf numFmtId="0" fontId="3" fillId="15" borderId="1" xfId="0" applyFont="1" applyFill="1" applyBorder="1" applyAlignment="1">
      <alignment horizontal="center"/>
    </xf>
    <xf numFmtId="0" fontId="18" fillId="14" borderId="4" xfId="0" applyFont="1" applyFill="1" applyBorder="1" applyAlignment="1">
      <alignment horizontal="center"/>
    </xf>
    <xf numFmtId="0" fontId="23" fillId="25" borderId="6" xfId="0" applyFont="1" applyFill="1" applyBorder="1" applyAlignment="1">
      <alignment horizontal="center"/>
    </xf>
    <xf numFmtId="2" fontId="0" fillId="31" borderId="6" xfId="0" applyNumberFormat="1" applyFill="1" applyBorder="1" applyAlignment="1">
      <alignment horizontal="center"/>
    </xf>
    <xf numFmtId="0" fontId="0" fillId="31" borderId="6" xfId="0" applyFill="1" applyBorder="1"/>
    <xf numFmtId="0" fontId="11" fillId="7" borderId="0" xfId="0" applyFont="1" applyFill="1" applyAlignment="1">
      <alignment horizontal="left" vertical="center"/>
    </xf>
    <xf numFmtId="0" fontId="18" fillId="27" borderId="1" xfId="0" applyFont="1" applyFill="1" applyBorder="1" applyAlignment="1">
      <alignment horizontal="center" vertical="center"/>
    </xf>
    <xf numFmtId="2" fontId="20" fillId="29" borderId="6" xfId="0" applyNumberFormat="1" applyFont="1" applyFill="1" applyBorder="1" applyAlignment="1">
      <alignment horizontal="center" vertical="center"/>
    </xf>
    <xf numFmtId="2" fontId="20" fillId="26" borderId="6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20" fillId="29" borderId="6" xfId="0" applyFont="1" applyFill="1" applyBorder="1" applyAlignment="1">
      <alignment horizontal="center" vertical="center"/>
    </xf>
    <xf numFmtId="0" fontId="2" fillId="28" borderId="4" xfId="0" applyFont="1" applyFill="1" applyBorder="1" applyAlignment="1">
      <alignment horizontal="center" vertical="center"/>
    </xf>
    <xf numFmtId="0" fontId="3" fillId="30" borderId="2" xfId="0" applyFont="1" applyFill="1" applyBorder="1" applyAlignment="1">
      <alignment vertical="center"/>
    </xf>
    <xf numFmtId="2" fontId="0" fillId="31" borderId="6" xfId="0" applyNumberFormat="1" applyFill="1" applyBorder="1" applyAlignment="1">
      <alignment horizontal="center" vertical="center"/>
    </xf>
    <xf numFmtId="1" fontId="3" fillId="30" borderId="5" xfId="0" applyNumberFormat="1" applyFont="1" applyFill="1" applyBorder="1" applyAlignment="1">
      <alignment horizontal="center" vertical="center"/>
    </xf>
    <xf numFmtId="2" fontId="3" fillId="30" borderId="1" xfId="0" applyNumberFormat="1" applyFont="1" applyFill="1" applyBorder="1" applyAlignment="1">
      <alignment horizontal="center" vertical="center"/>
    </xf>
    <xf numFmtId="0" fontId="3" fillId="30" borderId="34" xfId="0" applyFont="1" applyFill="1" applyBorder="1" applyAlignment="1">
      <alignment vertical="center"/>
    </xf>
    <xf numFmtId="1" fontId="3" fillId="30" borderId="36" xfId="0" applyNumberFormat="1" applyFont="1" applyFill="1" applyBorder="1" applyAlignment="1">
      <alignment horizontal="center" vertical="center"/>
    </xf>
    <xf numFmtId="1" fontId="3" fillId="30" borderId="3" xfId="0" applyNumberFormat="1" applyFont="1" applyFill="1" applyBorder="1" applyAlignment="1">
      <alignment horizontal="center" vertical="center"/>
    </xf>
    <xf numFmtId="0" fontId="3" fillId="30" borderId="6" xfId="0" applyFont="1" applyFill="1" applyBorder="1" applyAlignment="1">
      <alignment vertical="center"/>
    </xf>
    <xf numFmtId="1" fontId="3" fillId="30" borderId="6" xfId="0" applyNumberFormat="1" applyFont="1" applyFill="1" applyBorder="1" applyAlignment="1">
      <alignment horizontal="center" vertical="center"/>
    </xf>
    <xf numFmtId="0" fontId="3" fillId="30" borderId="17" xfId="0" applyFont="1" applyFill="1" applyBorder="1" applyAlignment="1">
      <alignment vertical="center"/>
    </xf>
    <xf numFmtId="1" fontId="3" fillId="30" borderId="19" xfId="0" applyNumberFormat="1" applyFont="1" applyFill="1" applyBorder="1" applyAlignment="1">
      <alignment horizontal="center" vertical="center"/>
    </xf>
    <xf numFmtId="0" fontId="2" fillId="28" borderId="33" xfId="0" applyFont="1" applyFill="1" applyBorder="1" applyAlignment="1">
      <alignment horizontal="center" vertical="center"/>
    </xf>
    <xf numFmtId="2" fontId="2" fillId="28" borderId="33" xfId="0" applyNumberFormat="1" applyFont="1" applyFill="1" applyBorder="1" applyAlignment="1">
      <alignment horizontal="center" vertical="center"/>
    </xf>
    <xf numFmtId="2" fontId="2" fillId="32" borderId="33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4" fillId="7" borderId="0" xfId="1" applyFill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2" fontId="3" fillId="23" borderId="1" xfId="0" applyNumberFormat="1" applyFont="1" applyFill="1" applyBorder="1" applyAlignment="1">
      <alignment horizontal="center" vertical="center"/>
    </xf>
    <xf numFmtId="10" fontId="3" fillId="23" borderId="1" xfId="0" applyNumberFormat="1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2" fontId="3" fillId="23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9" borderId="26" xfId="0" applyFont="1" applyFill="1" applyBorder="1" applyAlignment="1">
      <alignment horizontal="center" vertical="center"/>
    </xf>
    <xf numFmtId="2" fontId="2" fillId="19" borderId="26" xfId="0" applyNumberFormat="1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left" vertical="center"/>
    </xf>
    <xf numFmtId="0" fontId="3" fillId="23" borderId="7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2" fontId="2" fillId="32" borderId="38" xfId="0" applyNumberFormat="1" applyFont="1" applyFill="1" applyBorder="1" applyAlignment="1">
      <alignment horizontal="center" vertical="center"/>
    </xf>
    <xf numFmtId="1" fontId="3" fillId="33" borderId="6" xfId="0" applyNumberFormat="1" applyFont="1" applyFill="1" applyBorder="1" applyAlignment="1">
      <alignment horizontal="center" vertical="center"/>
    </xf>
    <xf numFmtId="1" fontId="3" fillId="5" borderId="17" xfId="0" applyNumberFormat="1" applyFont="1" applyFill="1" applyBorder="1" applyAlignment="1">
      <alignment horizontal="center" vertical="center"/>
    </xf>
    <xf numFmtId="0" fontId="3" fillId="34" borderId="1" xfId="0" applyFont="1" applyFill="1" applyBorder="1"/>
    <xf numFmtId="0" fontId="3" fillId="34" borderId="1" xfId="0" applyFont="1" applyFill="1" applyBorder="1" applyAlignment="1">
      <alignment horizontal="center"/>
    </xf>
    <xf numFmtId="1" fontId="3" fillId="5" borderId="18" xfId="0" applyNumberFormat="1" applyFont="1" applyFill="1" applyBorder="1" applyAlignment="1">
      <alignment horizontal="center"/>
    </xf>
    <xf numFmtId="0" fontId="3" fillId="34" borderId="7" xfId="0" applyFont="1" applyFill="1" applyBorder="1" applyAlignment="1">
      <alignment horizontal="center"/>
    </xf>
    <xf numFmtId="1" fontId="3" fillId="5" borderId="0" xfId="0" applyNumberFormat="1" applyFont="1" applyFill="1" applyAlignment="1">
      <alignment horizontal="center"/>
    </xf>
    <xf numFmtId="0" fontId="2" fillId="28" borderId="35" xfId="0" applyFont="1" applyFill="1" applyBorder="1" applyAlignment="1">
      <alignment horizontal="center" vertical="center"/>
    </xf>
    <xf numFmtId="0" fontId="2" fillId="28" borderId="38" xfId="0" applyFont="1" applyFill="1" applyBorder="1" applyAlignment="1">
      <alignment horizontal="center" vertical="center"/>
    </xf>
    <xf numFmtId="2" fontId="2" fillId="28" borderId="38" xfId="0" applyNumberFormat="1" applyFont="1" applyFill="1" applyBorder="1" applyAlignment="1">
      <alignment horizontal="center" vertical="center"/>
    </xf>
    <xf numFmtId="0" fontId="3" fillId="34" borderId="6" xfId="0" applyFont="1" applyFill="1" applyBorder="1"/>
    <xf numFmtId="0" fontId="3" fillId="34" borderId="6" xfId="0" applyFont="1" applyFill="1" applyBorder="1" applyAlignment="1">
      <alignment horizontal="center"/>
    </xf>
    <xf numFmtId="2" fontId="3" fillId="34" borderId="6" xfId="0" applyNumberFormat="1" applyFont="1" applyFill="1" applyBorder="1" applyAlignment="1">
      <alignment horizontal="center"/>
    </xf>
    <xf numFmtId="0" fontId="3" fillId="34" borderId="20" xfId="0" applyFont="1" applyFill="1" applyBorder="1"/>
    <xf numFmtId="0" fontId="3" fillId="31" borderId="1" xfId="0" applyFont="1" applyFill="1" applyBorder="1"/>
    <xf numFmtId="0" fontId="10" fillId="31" borderId="6" xfId="0" applyFont="1" applyFill="1" applyBorder="1" applyAlignment="1">
      <alignment vertical="center"/>
    </xf>
    <xf numFmtId="2" fontId="2" fillId="28" borderId="40" xfId="0" applyNumberFormat="1" applyFont="1" applyFill="1" applyBorder="1" applyAlignment="1">
      <alignment horizontal="center" vertical="center"/>
    </xf>
    <xf numFmtId="2" fontId="24" fillId="35" borderId="28" xfId="0" applyNumberFormat="1" applyFont="1" applyFill="1" applyBorder="1" applyAlignment="1">
      <alignment horizontal="center" vertical="center"/>
    </xf>
    <xf numFmtId="0" fontId="0" fillId="36" borderId="0" xfId="0" applyFill="1"/>
    <xf numFmtId="0" fontId="11" fillId="36" borderId="0" xfId="0" applyFont="1" applyFill="1" applyAlignment="1">
      <alignment horizontal="left" vertical="center"/>
    </xf>
    <xf numFmtId="0" fontId="0" fillId="31" borderId="6" xfId="0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5" fillId="7" borderId="0" xfId="0" applyFont="1" applyFill="1"/>
    <xf numFmtId="0" fontId="3" fillId="34" borderId="2" xfId="0" applyFont="1" applyFill="1" applyBorder="1"/>
    <xf numFmtId="2" fontId="0" fillId="31" borderId="20" xfId="0" applyNumberFormat="1" applyFill="1" applyBorder="1" applyAlignment="1">
      <alignment horizontal="center"/>
    </xf>
    <xf numFmtId="0" fontId="0" fillId="31" borderId="20" xfId="0" applyFill="1" applyBorder="1" applyAlignment="1">
      <alignment horizontal="center"/>
    </xf>
    <xf numFmtId="2" fontId="3" fillId="34" borderId="20" xfId="0" applyNumberFormat="1" applyFont="1" applyFill="1" applyBorder="1" applyAlignment="1">
      <alignment horizontal="center"/>
    </xf>
    <xf numFmtId="1" fontId="3" fillId="5" borderId="6" xfId="0" applyNumberFormat="1" applyFont="1" applyFill="1" applyBorder="1" applyAlignment="1">
      <alignment horizontal="center"/>
    </xf>
    <xf numFmtId="0" fontId="3" fillId="34" borderId="5" xfId="0" applyFont="1" applyFill="1" applyBorder="1" applyAlignment="1">
      <alignment horizontal="center"/>
    </xf>
    <xf numFmtId="2" fontId="2" fillId="32" borderId="29" xfId="0" applyNumberFormat="1" applyFont="1" applyFill="1" applyBorder="1" applyAlignment="1">
      <alignment horizontal="center" vertical="center"/>
    </xf>
    <xf numFmtId="2" fontId="2" fillId="28" borderId="44" xfId="0" applyNumberFormat="1" applyFont="1" applyFill="1" applyBorder="1" applyAlignment="1">
      <alignment horizontal="center" vertical="center"/>
    </xf>
    <xf numFmtId="2" fontId="18" fillId="32" borderId="29" xfId="0" applyNumberFormat="1" applyFont="1" applyFill="1" applyBorder="1" applyAlignment="1">
      <alignment horizontal="center" vertical="center"/>
    </xf>
    <xf numFmtId="0" fontId="13" fillId="34" borderId="6" xfId="0" applyFont="1" applyFill="1" applyBorder="1"/>
    <xf numFmtId="0" fontId="13" fillId="34" borderId="6" xfId="0" applyFont="1" applyFill="1" applyBorder="1" applyAlignment="1">
      <alignment horizontal="center"/>
    </xf>
    <xf numFmtId="0" fontId="3" fillId="37" borderId="1" xfId="0" applyFont="1" applyFill="1" applyBorder="1"/>
    <xf numFmtId="0" fontId="3" fillId="30" borderId="1" xfId="0" applyFont="1" applyFill="1" applyBorder="1"/>
    <xf numFmtId="1" fontId="3" fillId="30" borderId="1" xfId="0" applyNumberFormat="1" applyFont="1" applyFill="1" applyBorder="1" applyAlignment="1">
      <alignment horizontal="center"/>
    </xf>
    <xf numFmtId="0" fontId="3" fillId="37" borderId="1" xfId="0" applyFont="1" applyFill="1" applyBorder="1" applyAlignment="1">
      <alignment horizontal="center"/>
    </xf>
    <xf numFmtId="0" fontId="2" fillId="38" borderId="1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0" fillId="7" borderId="45" xfId="0" applyFont="1" applyFill="1" applyBorder="1" applyAlignment="1">
      <alignment vertical="center"/>
    </xf>
    <xf numFmtId="2" fontId="20" fillId="26" borderId="46" xfId="0" applyNumberFormat="1" applyFont="1" applyFill="1" applyBorder="1" applyAlignment="1">
      <alignment horizontal="center" vertical="center"/>
    </xf>
    <xf numFmtId="0" fontId="3" fillId="22" borderId="4" xfId="0" applyFont="1" applyFill="1" applyBorder="1" applyAlignment="1">
      <alignment horizontal="center" vertical="center"/>
    </xf>
    <xf numFmtId="0" fontId="2" fillId="17" borderId="46" xfId="0" applyFont="1" applyFill="1" applyBorder="1" applyAlignment="1">
      <alignment horizontal="center" vertical="center"/>
    </xf>
    <xf numFmtId="2" fontId="0" fillId="7" borderId="0" xfId="0" applyNumberFormat="1" applyFill="1"/>
    <xf numFmtId="2" fontId="20" fillId="29" borderId="46" xfId="0" applyNumberFormat="1" applyFont="1" applyFill="1" applyBorder="1" applyAlignment="1">
      <alignment horizontal="center" vertical="center"/>
    </xf>
    <xf numFmtId="0" fontId="27" fillId="7" borderId="0" xfId="0" applyFont="1" applyFill="1"/>
    <xf numFmtId="0" fontId="27" fillId="39" borderId="0" xfId="0" applyFont="1" applyFill="1" applyAlignment="1">
      <alignment horizontal="center"/>
    </xf>
    <xf numFmtId="0" fontId="28" fillId="40" borderId="0" xfId="0" applyFont="1" applyFill="1" applyAlignment="1">
      <alignment horizontal="center"/>
    </xf>
    <xf numFmtId="0" fontId="29" fillId="7" borderId="0" xfId="0" applyFont="1" applyFill="1"/>
    <xf numFmtId="0" fontId="26" fillId="7" borderId="0" xfId="0" applyFont="1" applyFill="1"/>
    <xf numFmtId="2" fontId="20" fillId="29" borderId="50" xfId="0" applyNumberFormat="1" applyFont="1" applyFill="1" applyBorder="1" applyAlignment="1">
      <alignment horizontal="center" vertical="center"/>
    </xf>
    <xf numFmtId="2" fontId="26" fillId="7" borderId="0" xfId="0" applyNumberFormat="1" applyFont="1" applyFill="1" applyAlignment="1">
      <alignment vertical="center"/>
    </xf>
    <xf numFmtId="0" fontId="10" fillId="7" borderId="0" xfId="0" applyFont="1" applyFill="1" applyAlignment="1">
      <alignment vertical="center"/>
    </xf>
    <xf numFmtId="2" fontId="26" fillId="7" borderId="0" xfId="0" applyNumberFormat="1" applyFont="1" applyFill="1"/>
    <xf numFmtId="2" fontId="26" fillId="36" borderId="0" xfId="0" applyNumberFormat="1" applyFont="1" applyFill="1"/>
    <xf numFmtId="1" fontId="3" fillId="33" borderId="4" xfId="0" applyNumberFormat="1" applyFont="1" applyFill="1" applyBorder="1" applyAlignment="1">
      <alignment horizontal="center" vertical="center"/>
    </xf>
    <xf numFmtId="0" fontId="2" fillId="41" borderId="6" xfId="0" applyFont="1" applyFill="1" applyBorder="1" applyAlignment="1">
      <alignment horizontal="center" vertical="center"/>
    </xf>
    <xf numFmtId="2" fontId="2" fillId="41" borderId="6" xfId="0" applyNumberFormat="1" applyFont="1" applyFill="1" applyBorder="1" applyAlignment="1">
      <alignment horizontal="center" vertical="center"/>
    </xf>
    <xf numFmtId="2" fontId="2" fillId="41" borderId="40" xfId="0" applyNumberFormat="1" applyFont="1" applyFill="1" applyBorder="1" applyAlignment="1">
      <alignment horizontal="center" vertical="center"/>
    </xf>
    <xf numFmtId="0" fontId="2" fillId="28" borderId="16" xfId="0" applyFont="1" applyFill="1" applyBorder="1" applyAlignment="1">
      <alignment horizontal="center" vertical="center"/>
    </xf>
    <xf numFmtId="0" fontId="2" fillId="28" borderId="20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vertical="center"/>
    </xf>
    <xf numFmtId="1" fontId="3" fillId="30" borderId="1" xfId="0" applyNumberFormat="1" applyFont="1" applyFill="1" applyBorder="1" applyAlignment="1">
      <alignment horizontal="center" vertical="center"/>
    </xf>
    <xf numFmtId="2" fontId="3" fillId="31" borderId="1" xfId="0" applyNumberFormat="1" applyFont="1" applyFill="1" applyBorder="1" applyAlignment="1">
      <alignment horizontal="center" vertical="center"/>
    </xf>
    <xf numFmtId="0" fontId="3" fillId="39" borderId="6" xfId="0" applyFont="1" applyFill="1" applyBorder="1" applyAlignment="1">
      <alignment horizontal="center"/>
    </xf>
    <xf numFmtId="0" fontId="3" fillId="39" borderId="1" xfId="0" applyFont="1" applyFill="1" applyBorder="1" applyAlignment="1">
      <alignment horizontal="center"/>
    </xf>
    <xf numFmtId="1" fontId="3" fillId="33" borderId="6" xfId="0" applyNumberFormat="1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2" fontId="0" fillId="7" borderId="0" xfId="0" applyNumberFormat="1" applyFill="1" applyAlignment="1">
      <alignment vertical="center"/>
    </xf>
    <xf numFmtId="0" fontId="2" fillId="28" borderId="17" xfId="0" applyFont="1" applyFill="1" applyBorder="1" applyAlignment="1">
      <alignment horizontal="center" vertical="center"/>
    </xf>
    <xf numFmtId="0" fontId="2" fillId="28" borderId="19" xfId="0" applyFont="1" applyFill="1" applyBorder="1" applyAlignment="1">
      <alignment horizontal="center" vertical="center"/>
    </xf>
    <xf numFmtId="2" fontId="0" fillId="31" borderId="54" xfId="0" applyNumberFormat="1" applyFill="1" applyBorder="1" applyAlignment="1">
      <alignment horizontal="center" vertical="center"/>
    </xf>
    <xf numFmtId="0" fontId="2" fillId="28" borderId="46" xfId="0" applyFont="1" applyFill="1" applyBorder="1" applyAlignment="1">
      <alignment horizontal="center" vertical="center"/>
    </xf>
    <xf numFmtId="2" fontId="0" fillId="31" borderId="25" xfId="0" applyNumberFormat="1" applyFill="1" applyBorder="1" applyAlignment="1">
      <alignment horizontal="center" vertical="center"/>
    </xf>
    <xf numFmtId="0" fontId="3" fillId="33" borderId="4" xfId="0" applyFont="1" applyFill="1" applyBorder="1" applyAlignment="1">
      <alignment horizontal="center" vertical="center"/>
    </xf>
    <xf numFmtId="1" fontId="3" fillId="30" borderId="0" xfId="0" applyNumberFormat="1" applyFont="1" applyFill="1" applyAlignment="1">
      <alignment horizontal="center" vertical="center"/>
    </xf>
    <xf numFmtId="0" fontId="1" fillId="31" borderId="46" xfId="0" applyFont="1" applyFill="1" applyBorder="1" applyAlignment="1">
      <alignment vertical="center"/>
    </xf>
    <xf numFmtId="0" fontId="2" fillId="28" borderId="1" xfId="0" applyFont="1" applyFill="1" applyBorder="1" applyAlignment="1">
      <alignment horizontal="center"/>
    </xf>
    <xf numFmtId="2" fontId="3" fillId="42" borderId="1" xfId="0" applyNumberFormat="1" applyFont="1" applyFill="1" applyBorder="1" applyAlignment="1">
      <alignment horizontal="center"/>
    </xf>
    <xf numFmtId="2" fontId="3" fillId="30" borderId="1" xfId="0" applyNumberFormat="1" applyFont="1" applyFill="1" applyBorder="1" applyAlignment="1">
      <alignment horizontal="center"/>
    </xf>
    <xf numFmtId="2" fontId="1" fillId="7" borderId="0" xfId="0" applyNumberFormat="1" applyFont="1" applyFill="1"/>
    <xf numFmtId="2" fontId="3" fillId="33" borderId="1" xfId="0" applyNumberFormat="1" applyFont="1" applyFill="1" applyBorder="1" applyAlignment="1">
      <alignment horizontal="center"/>
    </xf>
    <xf numFmtId="0" fontId="2" fillId="28" borderId="55" xfId="0" applyFont="1" applyFill="1" applyBorder="1" applyAlignment="1">
      <alignment horizontal="center" vertical="center"/>
    </xf>
    <xf numFmtId="0" fontId="2" fillId="28" borderId="6" xfId="0" applyFont="1" applyFill="1" applyBorder="1" applyAlignment="1">
      <alignment horizontal="center" vertical="center"/>
    </xf>
    <xf numFmtId="0" fontId="3" fillId="34" borderId="7" xfId="0" applyFont="1" applyFill="1" applyBorder="1"/>
    <xf numFmtId="0" fontId="3" fillId="34" borderId="20" xfId="0" applyFont="1" applyFill="1" applyBorder="1" applyAlignment="1">
      <alignment horizontal="center"/>
    </xf>
    <xf numFmtId="0" fontId="3" fillId="39" borderId="20" xfId="0" applyFont="1" applyFill="1" applyBorder="1" applyAlignment="1">
      <alignment horizontal="center"/>
    </xf>
    <xf numFmtId="2" fontId="3" fillId="33" borderId="1" xfId="0" applyNumberFormat="1" applyFont="1" applyFill="1" applyBorder="1" applyAlignment="1">
      <alignment horizontal="center" vertical="center"/>
    </xf>
    <xf numFmtId="0" fontId="3" fillId="30" borderId="7" xfId="0" applyFont="1" applyFill="1" applyBorder="1" applyAlignment="1">
      <alignment vertical="center"/>
    </xf>
    <xf numFmtId="1" fontId="3" fillId="30" borderId="7" xfId="0" applyNumberFormat="1" applyFont="1" applyFill="1" applyBorder="1" applyAlignment="1">
      <alignment horizontal="center" vertical="center"/>
    </xf>
    <xf numFmtId="1" fontId="3" fillId="5" borderId="16" xfId="0" applyNumberFormat="1" applyFont="1" applyFill="1" applyBorder="1" applyAlignment="1">
      <alignment horizontal="center" vertical="center"/>
    </xf>
    <xf numFmtId="2" fontId="0" fillId="31" borderId="20" xfId="0" applyNumberFormat="1" applyFill="1" applyBorder="1" applyAlignment="1">
      <alignment horizontal="center" vertical="center"/>
    </xf>
    <xf numFmtId="2" fontId="3" fillId="31" borderId="7" xfId="0" applyNumberFormat="1" applyFont="1" applyFill="1" applyBorder="1" applyAlignment="1">
      <alignment horizontal="center" vertical="center"/>
    </xf>
    <xf numFmtId="2" fontId="3" fillId="31" borderId="6" xfId="0" applyNumberFormat="1" applyFont="1" applyFill="1" applyBorder="1" applyAlignment="1">
      <alignment horizontal="center" vertical="center"/>
    </xf>
    <xf numFmtId="0" fontId="30" fillId="32" borderId="6" xfId="0" applyFont="1" applyFill="1" applyBorder="1" applyAlignment="1">
      <alignment vertical="center"/>
    </xf>
    <xf numFmtId="2" fontId="1" fillId="31" borderId="6" xfId="0" applyNumberFormat="1" applyFont="1" applyFill="1" applyBorder="1" applyAlignment="1">
      <alignment horizontal="center" vertical="center"/>
    </xf>
    <xf numFmtId="0" fontId="3" fillId="30" borderId="6" xfId="0" quotePrefix="1" applyFont="1" applyFill="1" applyBorder="1" applyAlignment="1">
      <alignment vertical="center"/>
    </xf>
    <xf numFmtId="1" fontId="3" fillId="5" borderId="6" xfId="0" applyNumberFormat="1" applyFont="1" applyFill="1" applyBorder="1" applyAlignment="1">
      <alignment horizontal="center" vertical="center"/>
    </xf>
    <xf numFmtId="0" fontId="1" fillId="31" borderId="6" xfId="0" applyFont="1" applyFill="1" applyBorder="1" applyAlignment="1">
      <alignment vertical="center"/>
    </xf>
    <xf numFmtId="1" fontId="4" fillId="30" borderId="6" xfId="0" applyNumberFormat="1" applyFont="1" applyFill="1" applyBorder="1" applyAlignment="1">
      <alignment horizontal="center" vertical="center"/>
    </xf>
    <xf numFmtId="0" fontId="1" fillId="31" borderId="6" xfId="0" applyFont="1" applyFill="1" applyBorder="1"/>
    <xf numFmtId="0" fontId="3" fillId="30" borderId="7" xfId="0" applyFont="1" applyFill="1" applyBorder="1"/>
    <xf numFmtId="1" fontId="3" fillId="30" borderId="7" xfId="0" applyNumberFormat="1" applyFont="1" applyFill="1" applyBorder="1" applyAlignment="1">
      <alignment horizontal="center"/>
    </xf>
    <xf numFmtId="0" fontId="3" fillId="30" borderId="46" xfId="0" applyFont="1" applyFill="1" applyBorder="1"/>
    <xf numFmtId="2" fontId="0" fillId="31" borderId="46" xfId="0" applyNumberFormat="1" applyFill="1" applyBorder="1" applyAlignment="1">
      <alignment horizontal="center"/>
    </xf>
    <xf numFmtId="1" fontId="3" fillId="30" borderId="46" xfId="0" applyNumberFormat="1" applyFont="1" applyFill="1" applyBorder="1" applyAlignment="1">
      <alignment horizontal="center"/>
    </xf>
    <xf numFmtId="2" fontId="3" fillId="34" borderId="46" xfId="0" applyNumberFormat="1" applyFont="1" applyFill="1" applyBorder="1" applyAlignment="1">
      <alignment horizontal="center"/>
    </xf>
    <xf numFmtId="0" fontId="3" fillId="39" borderId="8" xfId="0" applyFont="1" applyFill="1" applyBorder="1" applyAlignment="1">
      <alignment horizontal="center"/>
    </xf>
    <xf numFmtId="0" fontId="0" fillId="31" borderId="46" xfId="0" applyFill="1" applyBorder="1" applyAlignment="1">
      <alignment horizontal="center"/>
    </xf>
    <xf numFmtId="0" fontId="3" fillId="34" borderId="34" xfId="0" applyFont="1" applyFill="1" applyBorder="1"/>
    <xf numFmtId="0" fontId="3" fillId="30" borderId="13" xfId="0" applyFont="1" applyFill="1" applyBorder="1" applyAlignment="1">
      <alignment vertical="center"/>
    </xf>
    <xf numFmtId="0" fontId="3" fillId="34" borderId="46" xfId="0" applyFont="1" applyFill="1" applyBorder="1"/>
    <xf numFmtId="2" fontId="3" fillId="33" borderId="0" xfId="0" applyNumberFormat="1" applyFont="1" applyFill="1" applyAlignment="1">
      <alignment horizontal="center"/>
    </xf>
    <xf numFmtId="2" fontId="3" fillId="30" borderId="0" xfId="0" applyNumberFormat="1" applyFont="1" applyFill="1" applyAlignment="1">
      <alignment horizontal="center"/>
    </xf>
    <xf numFmtId="0" fontId="3" fillId="44" borderId="1" xfId="0" applyFont="1" applyFill="1" applyBorder="1"/>
    <xf numFmtId="0" fontId="4" fillId="30" borderId="2" xfId="0" applyFont="1" applyFill="1" applyBorder="1" applyAlignment="1">
      <alignment vertical="center"/>
    </xf>
    <xf numFmtId="0" fontId="4" fillId="30" borderId="34" xfId="0" applyFont="1" applyFill="1" applyBorder="1" applyAlignment="1">
      <alignment vertical="center"/>
    </xf>
    <xf numFmtId="1" fontId="4" fillId="30" borderId="1" xfId="0" applyNumberFormat="1" applyFont="1" applyFill="1" applyBorder="1" applyAlignment="1">
      <alignment horizontal="center" vertical="center"/>
    </xf>
    <xf numFmtId="2" fontId="16" fillId="10" borderId="8" xfId="0" applyNumberFormat="1" applyFont="1" applyFill="1" applyBorder="1" applyAlignment="1">
      <alignment horizontal="center" vertical="center"/>
    </xf>
    <xf numFmtId="2" fontId="16" fillId="10" borderId="9" xfId="0" applyNumberFormat="1" applyFont="1" applyFill="1" applyBorder="1" applyAlignment="1">
      <alignment horizontal="center" vertical="center"/>
    </xf>
    <xf numFmtId="2" fontId="16" fillId="10" borderId="10" xfId="0" applyNumberFormat="1" applyFont="1" applyFill="1" applyBorder="1" applyAlignment="1">
      <alignment horizontal="center" vertical="center"/>
    </xf>
    <xf numFmtId="2" fontId="16" fillId="10" borderId="11" xfId="0" applyNumberFormat="1" applyFont="1" applyFill="1" applyBorder="1" applyAlignment="1">
      <alignment horizontal="center" vertical="center"/>
    </xf>
    <xf numFmtId="2" fontId="16" fillId="10" borderId="0" xfId="0" applyNumberFormat="1" applyFont="1" applyFill="1" applyAlignment="1">
      <alignment horizontal="center" vertical="center"/>
    </xf>
    <xf numFmtId="2" fontId="16" fillId="10" borderId="12" xfId="0" applyNumberFormat="1" applyFont="1" applyFill="1" applyBorder="1" applyAlignment="1">
      <alignment horizontal="center" vertical="center"/>
    </xf>
    <xf numFmtId="2" fontId="16" fillId="10" borderId="13" xfId="0" applyNumberFormat="1" applyFont="1" applyFill="1" applyBorder="1" applyAlignment="1">
      <alignment horizontal="center" vertical="center"/>
    </xf>
    <xf numFmtId="2" fontId="16" fillId="10" borderId="14" xfId="0" applyNumberFormat="1" applyFont="1" applyFill="1" applyBorder="1" applyAlignment="1">
      <alignment horizontal="center" vertical="center"/>
    </xf>
    <xf numFmtId="2" fontId="16" fillId="10" borderId="15" xfId="0" applyNumberFormat="1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0" fontId="15" fillId="9" borderId="9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0" fontId="15" fillId="9" borderId="13" xfId="0" applyFont="1" applyFill="1" applyBorder="1" applyAlignment="1">
      <alignment horizontal="center" vertical="center"/>
    </xf>
    <xf numFmtId="0" fontId="15" fillId="9" borderId="14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 wrapText="1"/>
    </xf>
    <xf numFmtId="0" fontId="17" fillId="7" borderId="10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17" fillId="7" borderId="12" xfId="0" applyFont="1" applyFill="1" applyBorder="1" applyAlignment="1">
      <alignment horizontal="center" vertical="center" wrapText="1"/>
    </xf>
    <xf numFmtId="0" fontId="17" fillId="7" borderId="13" xfId="0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 wrapText="1"/>
    </xf>
    <xf numFmtId="0" fontId="17" fillId="7" borderId="15" xfId="0" applyFont="1" applyFill="1" applyBorder="1" applyAlignment="1">
      <alignment horizontal="center" vertical="center" wrapText="1"/>
    </xf>
    <xf numFmtId="0" fontId="2" fillId="12" borderId="29" xfId="0" applyFont="1" applyFill="1" applyBorder="1" applyAlignment="1">
      <alignment horizontal="center" vertical="center"/>
    </xf>
    <xf numFmtId="0" fontId="4" fillId="11" borderId="30" xfId="0" applyFont="1" applyFill="1" applyBorder="1" applyAlignment="1">
      <alignment horizontal="center" vertical="center"/>
    </xf>
    <xf numFmtId="2" fontId="2" fillId="12" borderId="29" xfId="0" applyNumberFormat="1" applyFont="1" applyFill="1" applyBorder="1" applyAlignment="1">
      <alignment horizontal="center" vertical="center"/>
    </xf>
    <xf numFmtId="10" fontId="2" fillId="12" borderId="29" xfId="0" applyNumberFormat="1" applyFont="1" applyFill="1" applyBorder="1" applyAlignment="1">
      <alignment horizontal="center" vertical="center"/>
    </xf>
    <xf numFmtId="0" fontId="19" fillId="13" borderId="21" xfId="2" applyFont="1" applyFill="1" applyBorder="1" applyAlignment="1">
      <alignment horizontal="center" vertical="center"/>
    </xf>
    <xf numFmtId="0" fontId="19" fillId="13" borderId="22" xfId="2" applyFont="1" applyFill="1" applyBorder="1" applyAlignment="1">
      <alignment horizontal="center" vertical="center"/>
    </xf>
    <xf numFmtId="0" fontId="19" fillId="13" borderId="23" xfId="2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3" fillId="20" borderId="24" xfId="0" applyFont="1" applyFill="1" applyBorder="1" applyAlignment="1">
      <alignment horizontal="center" vertical="center"/>
    </xf>
    <xf numFmtId="0" fontId="3" fillId="20" borderId="25" xfId="0" applyFont="1" applyFill="1" applyBorder="1" applyAlignment="1">
      <alignment horizontal="center" vertical="center"/>
    </xf>
    <xf numFmtId="0" fontId="2" fillId="18" borderId="6" xfId="0" applyFont="1" applyFill="1" applyBorder="1" applyAlignment="1">
      <alignment horizontal="center" vertical="center"/>
    </xf>
    <xf numFmtId="9" fontId="3" fillId="21" borderId="6" xfId="0" applyNumberFormat="1" applyFont="1" applyFill="1" applyBorder="1" applyAlignment="1">
      <alignment horizontal="center" vertical="center"/>
    </xf>
    <xf numFmtId="0" fontId="2" fillId="21" borderId="6" xfId="0" applyFont="1" applyFill="1" applyBorder="1" applyAlignment="1">
      <alignment horizontal="center" vertical="center"/>
    </xf>
    <xf numFmtId="9" fontId="20" fillId="29" borderId="24" xfId="0" applyNumberFormat="1" applyFont="1" applyFill="1" applyBorder="1" applyAlignment="1">
      <alignment horizontal="center" vertical="center"/>
    </xf>
    <xf numFmtId="9" fontId="20" fillId="29" borderId="32" xfId="0" applyNumberFormat="1" applyFont="1" applyFill="1" applyBorder="1" applyAlignment="1">
      <alignment horizontal="center" vertical="center"/>
    </xf>
    <xf numFmtId="9" fontId="20" fillId="29" borderId="25" xfId="0" applyNumberFormat="1" applyFont="1" applyFill="1" applyBorder="1" applyAlignment="1">
      <alignment horizontal="center" vertical="center"/>
    </xf>
    <xf numFmtId="0" fontId="20" fillId="29" borderId="51" xfId="0" applyFont="1" applyFill="1" applyBorder="1" applyAlignment="1">
      <alignment horizontal="center" vertical="center"/>
    </xf>
    <xf numFmtId="0" fontId="20" fillId="29" borderId="52" xfId="0" applyFont="1" applyFill="1" applyBorder="1" applyAlignment="1">
      <alignment horizontal="center" vertical="center"/>
    </xf>
    <xf numFmtId="0" fontId="20" fillId="29" borderId="53" xfId="0" applyFont="1" applyFill="1" applyBorder="1" applyAlignment="1">
      <alignment horizontal="center" vertical="center"/>
    </xf>
    <xf numFmtId="0" fontId="20" fillId="26" borderId="24" xfId="0" applyFont="1" applyFill="1" applyBorder="1" applyAlignment="1">
      <alignment horizontal="center" vertical="center"/>
    </xf>
    <xf numFmtId="0" fontId="20" fillId="26" borderId="32" xfId="0" applyFont="1" applyFill="1" applyBorder="1" applyAlignment="1">
      <alignment horizontal="center" vertical="center"/>
    </xf>
    <xf numFmtId="0" fontId="20" fillId="26" borderId="25" xfId="0" applyFont="1" applyFill="1" applyBorder="1" applyAlignment="1">
      <alignment horizontal="center" vertical="center"/>
    </xf>
    <xf numFmtId="9" fontId="20" fillId="29" borderId="8" xfId="0" applyNumberFormat="1" applyFont="1" applyFill="1" applyBorder="1" applyAlignment="1">
      <alignment horizontal="center" vertical="center"/>
    </xf>
    <xf numFmtId="0" fontId="20" fillId="29" borderId="9" xfId="0" applyFont="1" applyFill="1" applyBorder="1" applyAlignment="1">
      <alignment horizontal="center" vertical="center"/>
    </xf>
    <xf numFmtId="0" fontId="20" fillId="29" borderId="25" xfId="0" applyFont="1" applyFill="1" applyBorder="1" applyAlignment="1">
      <alignment horizontal="center" vertical="center"/>
    </xf>
    <xf numFmtId="0" fontId="20" fillId="29" borderId="32" xfId="0" applyFont="1" applyFill="1" applyBorder="1" applyAlignment="1">
      <alignment horizontal="center" vertical="center"/>
    </xf>
    <xf numFmtId="0" fontId="20" fillId="26" borderId="47" xfId="0" applyFont="1" applyFill="1" applyBorder="1" applyAlignment="1">
      <alignment horizontal="center" vertical="center"/>
    </xf>
    <xf numFmtId="0" fontId="20" fillId="26" borderId="48" xfId="0" applyFont="1" applyFill="1" applyBorder="1" applyAlignment="1">
      <alignment horizontal="center" vertical="center"/>
    </xf>
    <xf numFmtId="0" fontId="20" fillId="26" borderId="49" xfId="0" applyFont="1" applyFill="1" applyBorder="1" applyAlignment="1">
      <alignment horizontal="center" vertical="center"/>
    </xf>
    <xf numFmtId="9" fontId="2" fillId="41" borderId="24" xfId="0" applyNumberFormat="1" applyFont="1" applyFill="1" applyBorder="1" applyAlignment="1">
      <alignment horizontal="center" vertical="center"/>
    </xf>
    <xf numFmtId="9" fontId="2" fillId="41" borderId="32" xfId="0" applyNumberFormat="1" applyFont="1" applyFill="1" applyBorder="1" applyAlignment="1">
      <alignment horizontal="center" vertical="center"/>
    </xf>
    <xf numFmtId="9" fontId="2" fillId="41" borderId="25" xfId="0" applyNumberFormat="1" applyFont="1" applyFill="1" applyBorder="1" applyAlignment="1">
      <alignment horizontal="center" vertical="center"/>
    </xf>
    <xf numFmtId="0" fontId="2" fillId="41" borderId="41" xfId="0" applyFont="1" applyFill="1" applyBorder="1" applyAlignment="1">
      <alignment horizontal="center" vertical="center"/>
    </xf>
    <xf numFmtId="0" fontId="2" fillId="41" borderId="42" xfId="0" applyFont="1" applyFill="1" applyBorder="1" applyAlignment="1">
      <alignment horizontal="center" vertical="center"/>
    </xf>
    <xf numFmtId="0" fontId="2" fillId="41" borderId="43" xfId="0" applyFont="1" applyFill="1" applyBorder="1" applyAlignment="1">
      <alignment horizontal="center" vertical="center"/>
    </xf>
    <xf numFmtId="0" fontId="20" fillId="29" borderId="50" xfId="0" applyFont="1" applyFill="1" applyBorder="1" applyAlignment="1">
      <alignment horizontal="center" vertical="center"/>
    </xf>
    <xf numFmtId="9" fontId="20" fillId="29" borderId="39" xfId="0" applyNumberFormat="1" applyFont="1" applyFill="1" applyBorder="1" applyAlignment="1">
      <alignment horizontal="center" vertical="center"/>
    </xf>
    <xf numFmtId="0" fontId="30" fillId="43" borderId="24" xfId="0" applyFont="1" applyFill="1" applyBorder="1" applyAlignment="1">
      <alignment horizontal="center" vertical="center"/>
    </xf>
    <xf numFmtId="0" fontId="30" fillId="43" borderId="32" xfId="0" applyFont="1" applyFill="1" applyBorder="1" applyAlignment="1">
      <alignment horizontal="center" vertical="center"/>
    </xf>
    <xf numFmtId="0" fontId="30" fillId="43" borderId="25" xfId="0" applyFont="1" applyFill="1" applyBorder="1" applyAlignment="1">
      <alignment horizontal="center" vertical="center"/>
    </xf>
    <xf numFmtId="0" fontId="24" fillId="35" borderId="27" xfId="0" applyFont="1" applyFill="1" applyBorder="1" applyAlignment="1">
      <alignment horizontal="center" vertical="center"/>
    </xf>
    <xf numFmtId="0" fontId="24" fillId="35" borderId="37" xfId="0" applyFont="1" applyFill="1" applyBorder="1" applyAlignment="1">
      <alignment horizontal="center" vertical="center"/>
    </xf>
    <xf numFmtId="0" fontId="24" fillId="35" borderId="28" xfId="0" applyFont="1" applyFill="1" applyBorder="1" applyAlignment="1">
      <alignment horizontal="center" vertical="center"/>
    </xf>
    <xf numFmtId="0" fontId="20" fillId="29" borderId="47" xfId="0" applyFont="1" applyFill="1" applyBorder="1" applyAlignment="1">
      <alignment horizontal="center" vertical="center"/>
    </xf>
    <xf numFmtId="0" fontId="20" fillId="29" borderId="48" xfId="0" applyFont="1" applyFill="1" applyBorder="1" applyAlignment="1">
      <alignment horizontal="center" vertical="center"/>
    </xf>
    <xf numFmtId="0" fontId="20" fillId="29" borderId="49" xfId="0" applyFont="1" applyFill="1" applyBorder="1" applyAlignment="1">
      <alignment horizontal="center" vertical="center"/>
    </xf>
    <xf numFmtId="0" fontId="20" fillId="29" borderId="24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8BCE89EE-80E6-1548-BD7A-B02B0B80B597}"/>
    <cellStyle name="Title" xfId="1" builtinId="1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customschemas.google.com/relationships/workbookmetadata" Target="metadata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heetMetadata" Target="metadata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EF45-A73B-1B47-802B-24F705693451}">
  <sheetPr>
    <tabColor rgb="FF7030A0"/>
  </sheetPr>
  <dimension ref="A1:E9"/>
  <sheetViews>
    <sheetView zoomScale="150" zoomScaleNormal="150" workbookViewId="0">
      <selection activeCell="M5" sqref="M5"/>
    </sheetView>
  </sheetViews>
  <sheetFormatPr defaultColWidth="10.85546875" defaultRowHeight="15"/>
  <cols>
    <col min="1" max="16384" width="10.85546875" style="5"/>
  </cols>
  <sheetData>
    <row r="1" spans="1:5">
      <c r="A1" s="9"/>
      <c r="B1" s="9"/>
      <c r="C1" s="9"/>
      <c r="D1" s="9"/>
      <c r="E1" s="9"/>
    </row>
    <row r="2" spans="1:5" ht="15" customHeight="1">
      <c r="A2" s="9"/>
      <c r="B2" s="184" t="s">
        <v>216</v>
      </c>
      <c r="C2" s="185"/>
      <c r="D2" s="185"/>
      <c r="E2" s="186"/>
    </row>
    <row r="3" spans="1:5">
      <c r="A3" s="9"/>
      <c r="B3" s="187"/>
      <c r="C3" s="188"/>
      <c r="D3" s="188"/>
      <c r="E3" s="189"/>
    </row>
    <row r="4" spans="1:5">
      <c r="A4" s="9"/>
      <c r="B4" s="187"/>
      <c r="C4" s="188"/>
      <c r="D4" s="188"/>
      <c r="E4" s="189"/>
    </row>
    <row r="5" spans="1:5">
      <c r="A5" s="9"/>
      <c r="B5" s="190"/>
      <c r="C5" s="191"/>
      <c r="D5" s="191"/>
      <c r="E5" s="192"/>
    </row>
    <row r="6" spans="1:5" ht="15" customHeight="1">
      <c r="A6" s="9"/>
      <c r="B6" s="175">
        <f ca="1">Master!D41</f>
        <v>64.627539508426793</v>
      </c>
      <c r="C6" s="176"/>
      <c r="D6" s="176"/>
      <c r="E6" s="177"/>
    </row>
    <row r="7" spans="1:5" ht="15" customHeight="1">
      <c r="A7" s="9"/>
      <c r="B7" s="178"/>
      <c r="C7" s="179"/>
      <c r="D7" s="179"/>
      <c r="E7" s="180"/>
    </row>
    <row r="8" spans="1:5" ht="15" customHeight="1">
      <c r="A8" s="9"/>
      <c r="B8" s="178"/>
      <c r="C8" s="179"/>
      <c r="D8" s="179"/>
      <c r="E8" s="180"/>
    </row>
    <row r="9" spans="1:5" ht="15" customHeight="1">
      <c r="A9" s="9"/>
      <c r="B9" s="181"/>
      <c r="C9" s="182"/>
      <c r="D9" s="182"/>
      <c r="E9" s="183"/>
    </row>
  </sheetData>
  <mergeCells count="2">
    <mergeCell ref="B6:E9"/>
    <mergeCell ref="B2:E5"/>
  </mergeCells>
  <conditionalFormatting sqref="B6">
    <cfRule type="cellIs" dxfId="1" priority="1" operator="greaterThanOrEqual">
      <formula>65</formula>
    </cfRule>
    <cfRule type="cellIs" dxfId="0" priority="2" operator="lessThan">
      <formula>65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2:P1012"/>
  <sheetViews>
    <sheetView topLeftCell="A13" zoomScale="115" zoomScaleNormal="115" workbookViewId="0">
      <selection activeCell="E33" sqref="E33"/>
    </sheetView>
  </sheetViews>
  <sheetFormatPr defaultColWidth="14.42578125" defaultRowHeight="15" customHeight="1"/>
  <cols>
    <col min="1" max="1" width="8.85546875" style="36" customWidth="1"/>
    <col min="2" max="2" width="27.85546875" style="36" customWidth="1"/>
    <col min="3" max="6" width="13.140625" style="36" customWidth="1"/>
    <col min="7" max="7" width="7.42578125" style="36" bestFit="1" customWidth="1"/>
    <col min="8" max="8" width="38" style="36" bestFit="1" customWidth="1"/>
    <col min="9" max="9" width="33" style="36" bestFit="1" customWidth="1"/>
    <col min="10" max="12" width="8.85546875" style="36" customWidth="1"/>
    <col min="13" max="13" width="17.28515625" style="36" bestFit="1" customWidth="1"/>
    <col min="14" max="25" width="8.85546875" style="36" customWidth="1"/>
    <col min="26" max="16384" width="14.42578125" style="36"/>
  </cols>
  <sheetData>
    <row r="2" spans="2:8" ht="15" customHeight="1">
      <c r="B2" s="193" t="s">
        <v>217</v>
      </c>
      <c r="C2" s="194"/>
      <c r="D2" s="194"/>
      <c r="E2" s="195"/>
      <c r="H2" s="37"/>
    </row>
    <row r="3" spans="2:8" ht="15" customHeight="1">
      <c r="B3" s="196"/>
      <c r="C3" s="197"/>
      <c r="D3" s="197"/>
      <c r="E3" s="198"/>
    </row>
    <row r="4" spans="2:8" ht="15" customHeight="1">
      <c r="B4" s="196"/>
      <c r="C4" s="197"/>
      <c r="D4" s="197"/>
      <c r="E4" s="198"/>
    </row>
    <row r="5" spans="2:8" ht="15" customHeight="1">
      <c r="B5" s="199"/>
      <c r="C5" s="200"/>
      <c r="D5" s="200"/>
      <c r="E5" s="201"/>
    </row>
    <row r="6" spans="2:8"/>
    <row r="7" spans="2:8">
      <c r="B7" s="209" t="s">
        <v>0</v>
      </c>
      <c r="C7" s="210"/>
      <c r="D7" s="211" t="s">
        <v>202</v>
      </c>
      <c r="E7" s="212"/>
    </row>
    <row r="8" spans="2:8">
      <c r="B8" s="209" t="s">
        <v>220</v>
      </c>
      <c r="C8" s="210"/>
      <c r="D8" s="211" t="str" cm="1">
        <f t="array" ref="D8">_xlfn._xlws.FILTER('AI Groups'!$B$2:$G$2,_xlfn.BYCOL('AI Groups'!$B$3:$G$8=UPPER(Master!$D$7),_xlfn.LAMBDA(_xlpm.x,OR(_xlpm.x))))</f>
        <v>AI Var 5 - SVideo Captions</v>
      </c>
      <c r="E8" s="212"/>
    </row>
    <row r="10" spans="2:8">
      <c r="B10" s="213" t="s">
        <v>230</v>
      </c>
      <c r="C10" s="213"/>
      <c r="D10" s="213"/>
      <c r="E10" s="213"/>
    </row>
    <row r="11" spans="2:8">
      <c r="B11" s="215" t="s">
        <v>229</v>
      </c>
      <c r="C11" s="215"/>
      <c r="D11" s="214">
        <v>0.9</v>
      </c>
      <c r="E11" s="214"/>
    </row>
    <row r="12" spans="2:8">
      <c r="B12" s="215" t="s">
        <v>61</v>
      </c>
      <c r="C12" s="215"/>
      <c r="D12" s="214">
        <v>0.1</v>
      </c>
      <c r="E12" s="214"/>
    </row>
    <row r="13" spans="2:8"/>
    <row r="14" spans="2:8" ht="24" customHeight="1">
      <c r="B14" s="206" t="s">
        <v>218</v>
      </c>
      <c r="C14" s="207"/>
      <c r="D14" s="207"/>
      <c r="E14" s="208"/>
    </row>
    <row r="15" spans="2:8">
      <c r="B15" s="38" t="s">
        <v>14</v>
      </c>
      <c r="C15" s="38" t="s">
        <v>221</v>
      </c>
      <c r="D15" s="38" t="s">
        <v>10</v>
      </c>
      <c r="E15" s="38" t="s">
        <v>11</v>
      </c>
      <c r="G15" s="99" t="s">
        <v>2</v>
      </c>
      <c r="H15" s="39" t="s">
        <v>3</v>
      </c>
    </row>
    <row r="16" spans="2:8" ht="15" customHeight="1">
      <c r="B16" s="49" t="s">
        <v>12</v>
      </c>
      <c r="C16" s="40">
        <f>(MAX('AI Groups'!$C$3:$G$3)-$C$34) + 15</f>
        <v>19</v>
      </c>
      <c r="D16" s="41">
        <f ca="1">E16/C16</f>
        <v>0.78281395348837213</v>
      </c>
      <c r="E16" s="40">
        <f ca="1">General!F58</f>
        <v>14.873465116279069</v>
      </c>
      <c r="G16" s="98">
        <v>0</v>
      </c>
      <c r="H16" s="42" t="s">
        <v>4</v>
      </c>
    </row>
    <row r="17" spans="2:8">
      <c r="B17" s="49" t="s">
        <v>14</v>
      </c>
      <c r="C17" s="40">
        <v>12</v>
      </c>
      <c r="D17" s="41">
        <f t="shared" ref="D17:D38" ca="1" si="0">E17/C17</f>
        <v>0.64632204149590178</v>
      </c>
      <c r="E17" s="40">
        <f ca="1">Components!F55</f>
        <v>7.7558644979508209</v>
      </c>
      <c r="G17" s="42">
        <v>1</v>
      </c>
      <c r="H17" s="42" t="s">
        <v>5</v>
      </c>
    </row>
    <row r="18" spans="2:8">
      <c r="B18" s="49" t="s">
        <v>15</v>
      </c>
      <c r="C18" s="40">
        <v>3</v>
      </c>
      <c r="D18" s="41">
        <f t="shared" ca="1" si="0"/>
        <v>0.41500000000000004</v>
      </c>
      <c r="E18" s="40">
        <f ca="1">'Login Page'!F28</f>
        <v>1.2450000000000001</v>
      </c>
      <c r="G18" s="42">
        <v>2</v>
      </c>
      <c r="H18" s="42" t="s">
        <v>6</v>
      </c>
    </row>
    <row r="19" spans="2:8">
      <c r="B19" s="49" t="s">
        <v>16</v>
      </c>
      <c r="C19" s="40">
        <v>3</v>
      </c>
      <c r="D19" s="41">
        <f t="shared" ca="1" si="0"/>
        <v>0.69464285714285723</v>
      </c>
      <c r="E19" s="40">
        <f ca="1">'Sign Up Page'!F34</f>
        <v>2.0839285714285718</v>
      </c>
      <c r="G19" s="42">
        <v>3</v>
      </c>
      <c r="H19" s="42" t="s">
        <v>7</v>
      </c>
    </row>
    <row r="20" spans="2:8">
      <c r="B20" s="49" t="s">
        <v>17</v>
      </c>
      <c r="C20" s="40">
        <v>3</v>
      </c>
      <c r="D20" s="41">
        <f t="shared" ca="1" si="0"/>
        <v>0.64000000000000012</v>
      </c>
      <c r="E20" s="40">
        <f ca="1">'Reset Password Page'!F31</f>
        <v>1.9200000000000004</v>
      </c>
      <c r="G20" s="42">
        <v>4</v>
      </c>
      <c r="H20" s="42" t="s">
        <v>8</v>
      </c>
    </row>
    <row r="21" spans="2:8">
      <c r="B21" s="49" t="s">
        <v>18</v>
      </c>
      <c r="C21" s="40">
        <v>5</v>
      </c>
      <c r="D21" s="41">
        <f t="shared" ca="1" si="0"/>
        <v>0.62857142857142845</v>
      </c>
      <c r="E21" s="40">
        <f ca="1">'For You Page'!F25</f>
        <v>3.1428571428571423</v>
      </c>
    </row>
    <row r="22" spans="2:8">
      <c r="B22" s="49" t="s">
        <v>19</v>
      </c>
      <c r="C22" s="40">
        <v>2</v>
      </c>
      <c r="D22" s="41">
        <f t="shared" ca="1" si="0"/>
        <v>0.54672413793103458</v>
      </c>
      <c r="E22" s="40">
        <f ca="1">'Following Page'!F27</f>
        <v>1.0934482758620692</v>
      </c>
    </row>
    <row r="23" spans="2:8">
      <c r="B23" s="49" t="s">
        <v>20</v>
      </c>
      <c r="C23" s="40">
        <v>2</v>
      </c>
      <c r="D23" s="41">
        <f t="shared" ca="1" si="0"/>
        <v>0.57172413793103449</v>
      </c>
      <c r="E23" s="40">
        <f ca="1">'Friends Page'!F27</f>
        <v>1.143448275862069</v>
      </c>
    </row>
    <row r="24" spans="2:8">
      <c r="B24" s="49" t="s">
        <v>21</v>
      </c>
      <c r="C24" s="40">
        <v>4</v>
      </c>
      <c r="D24" s="41">
        <f t="shared" ca="1" si="0"/>
        <v>0.53497217068645642</v>
      </c>
      <c r="E24" s="40">
        <f ca="1">'Profile Page'!F50</f>
        <v>2.1398886827458257</v>
      </c>
    </row>
    <row r="25" spans="2:8">
      <c r="B25" s="49" t="s">
        <v>22</v>
      </c>
      <c r="C25" s="40">
        <v>2</v>
      </c>
      <c r="D25" s="41">
        <f t="shared" ca="1" si="0"/>
        <v>0.9375</v>
      </c>
      <c r="E25" s="40">
        <f ca="1">'Create Playlist Page'!F27</f>
        <v>1.875</v>
      </c>
    </row>
    <row r="26" spans="2:8">
      <c r="B26" s="49" t="s">
        <v>23</v>
      </c>
      <c r="C26" s="40">
        <v>3</v>
      </c>
      <c r="D26" s="41">
        <f t="shared" ca="1" si="0"/>
        <v>0.66892857142857143</v>
      </c>
      <c r="E26" s="40">
        <f ca="1">'Search Page'!F30</f>
        <v>2.0067857142857144</v>
      </c>
    </row>
    <row r="27" spans="2:8">
      <c r="B27" s="49" t="s">
        <v>24</v>
      </c>
      <c r="C27" s="40">
        <v>1</v>
      </c>
      <c r="D27" s="41">
        <f t="shared" ca="1" si="0"/>
        <v>0.83333333333333326</v>
      </c>
      <c r="E27" s="40">
        <f ca="1">'Rich Text'!F10</f>
        <v>0.83333333333333326</v>
      </c>
    </row>
    <row r="28" spans="2:8">
      <c r="B28" s="49" t="s">
        <v>25</v>
      </c>
      <c r="C28" s="40">
        <v>4</v>
      </c>
      <c r="D28" s="41">
        <f t="shared" ca="1" si="0"/>
        <v>0.32327586206896552</v>
      </c>
      <c r="E28" s="40">
        <f ca="1">'Settings Page'!F29</f>
        <v>1.2931034482758621</v>
      </c>
    </row>
    <row r="29" spans="2:8">
      <c r="B29" s="49" t="s">
        <v>26</v>
      </c>
      <c r="C29" s="40">
        <v>1</v>
      </c>
      <c r="D29" s="41">
        <f t="shared" ca="1" si="0"/>
        <v>1</v>
      </c>
      <c r="E29" s="40">
        <f ca="1">Advertisement!F6</f>
        <v>1</v>
      </c>
    </row>
    <row r="30" spans="2:8">
      <c r="B30" s="49" t="s">
        <v>27</v>
      </c>
      <c r="C30" s="40">
        <v>5</v>
      </c>
      <c r="D30" s="41">
        <f t="shared" ca="1" si="0"/>
        <v>0.71562499999999996</v>
      </c>
      <c r="E30" s="40">
        <f ca="1">'Studio Upload Page'!F31</f>
        <v>3.578125</v>
      </c>
    </row>
    <row r="31" spans="2:8">
      <c r="B31" s="49" t="s">
        <v>28</v>
      </c>
      <c r="C31" s="40">
        <v>4</v>
      </c>
      <c r="D31" s="41">
        <f t="shared" ca="1" si="0"/>
        <v>0.64481707317073189</v>
      </c>
      <c r="E31" s="40">
        <f ca="1">'Studio Post Page'!F37</f>
        <v>2.5792682926829276</v>
      </c>
    </row>
    <row r="32" spans="2:8">
      <c r="B32" s="49" t="s">
        <v>29</v>
      </c>
      <c r="C32" s="40">
        <v>7</v>
      </c>
      <c r="D32" s="41">
        <f t="shared" ca="1" si="0"/>
        <v>0.60269784172661856</v>
      </c>
      <c r="E32" s="40">
        <f ca="1">'Chat Page'!F45</f>
        <v>4.2188848920863302</v>
      </c>
    </row>
    <row r="33" spans="2:16">
      <c r="B33" s="49" t="s">
        <v>379</v>
      </c>
      <c r="C33" s="40">
        <v>5</v>
      </c>
      <c r="D33" s="41">
        <f t="shared" ca="1" si="0"/>
        <v>0.47230038022813686</v>
      </c>
      <c r="E33" s="40">
        <f ca="1">Live!F47</f>
        <v>2.3615019011406844</v>
      </c>
    </row>
    <row r="34" spans="2:16">
      <c r="B34" s="49" t="s">
        <v>236</v>
      </c>
      <c r="C34" s="40">
        <f>INDEX('AI Groups'!C3:G3,MATCH(Master!$D$8,'AI Groups'!C2:G2))</f>
        <v>8</v>
      </c>
      <c r="D34" s="41">
        <f ca="1">E34/C34</f>
        <v>0.89000000000000012</v>
      </c>
      <c r="E34" s="40" cm="1">
        <f t="array" aca="1" ref="E34" ca="1">INDIRECT("'" &amp; $D$8 &amp; "'!A1")</f>
        <v>7.120000000000001</v>
      </c>
      <c r="K34" s="43"/>
    </row>
    <row r="35" spans="2:16">
      <c r="B35" s="50" t="s">
        <v>32</v>
      </c>
      <c r="C35" s="44">
        <v>2</v>
      </c>
      <c r="D35" s="41">
        <f t="shared" ca="1" si="0"/>
        <v>0</v>
      </c>
      <c r="E35" s="44">
        <f ca="1">'AI Knowledge'!G8</f>
        <v>0</v>
      </c>
    </row>
    <row r="36" spans="2:16" ht="15.75" customHeight="1">
      <c r="B36" s="49" t="s">
        <v>30</v>
      </c>
      <c r="C36" s="40">
        <v>2</v>
      </c>
      <c r="D36" s="41">
        <f t="shared" ca="1" si="0"/>
        <v>0</v>
      </c>
      <c r="E36" s="40">
        <f ca="1">'Web Knowledge'!G8</f>
        <v>0</v>
      </c>
    </row>
    <row r="37" spans="2:16" ht="15.75" customHeight="1">
      <c r="B37" s="49" t="s">
        <v>31</v>
      </c>
      <c r="C37" s="40">
        <v>1</v>
      </c>
      <c r="D37" s="41">
        <f t="shared" ca="1" si="0"/>
        <v>0.36363636363636365</v>
      </c>
      <c r="E37" s="40">
        <f ca="1">'Web Coding Skill'!F9</f>
        <v>0.36363636363636365</v>
      </c>
    </row>
    <row r="38" spans="2:16" ht="15.75" customHeight="1">
      <c r="B38" s="49" t="s">
        <v>13</v>
      </c>
      <c r="C38" s="40">
        <v>2</v>
      </c>
      <c r="D38" s="41">
        <f t="shared" ca="1" si="0"/>
        <v>1</v>
      </c>
      <c r="E38" s="40">
        <f ca="1">'Live Coding'!F5</f>
        <v>2</v>
      </c>
      <c r="P38" s="45"/>
    </row>
    <row r="39" spans="2:16" ht="15.75" thickBot="1">
      <c r="B39" s="46" t="s">
        <v>33</v>
      </c>
      <c r="C39" s="47">
        <f>ROUND(SUM(C16:C38), 0)</f>
        <v>100</v>
      </c>
      <c r="D39" s="48"/>
      <c r="E39" s="47">
        <f ca="1">SUM(E16:E38)</f>
        <v>64.627539508426793</v>
      </c>
    </row>
    <row r="40" spans="2:16" ht="16.5" thickTop="1" thickBot="1">
      <c r="B40" s="202" t="s">
        <v>10</v>
      </c>
      <c r="C40" s="203"/>
      <c r="D40" s="205">
        <f ca="1">E39/C39</f>
        <v>0.6462753950842679</v>
      </c>
      <c r="E40" s="203"/>
    </row>
    <row r="41" spans="2:16" ht="15.75" customHeight="1" thickTop="1" thickBot="1">
      <c r="B41" s="202" t="s">
        <v>11</v>
      </c>
      <c r="C41" s="203"/>
      <c r="D41" s="204">
        <f ca="1">D40 * 100</f>
        <v>64.627539508426793</v>
      </c>
      <c r="E41" s="203"/>
    </row>
    <row r="42" spans="2:16" ht="15.75" customHeight="1" thickTop="1"/>
    <row r="43" spans="2:16" ht="15.75" customHeight="1"/>
    <row r="44" spans="2:16" ht="15.75" customHeight="1"/>
    <row r="45" spans="2:16" ht="15.75" customHeight="1"/>
    <row r="46" spans="2:16" ht="15.75" customHeight="1"/>
    <row r="47" spans="2:16" ht="15.75" customHeight="1"/>
    <row r="48" spans="2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5">
    <mergeCell ref="B2:E5"/>
    <mergeCell ref="B41:C41"/>
    <mergeCell ref="D41:E41"/>
    <mergeCell ref="B40:C40"/>
    <mergeCell ref="D40:E40"/>
    <mergeCell ref="B14:E14"/>
    <mergeCell ref="B7:C7"/>
    <mergeCell ref="B8:C8"/>
    <mergeCell ref="D7:E7"/>
    <mergeCell ref="D8:E8"/>
    <mergeCell ref="B10:E10"/>
    <mergeCell ref="D12:E12"/>
    <mergeCell ref="D11:E11"/>
    <mergeCell ref="B12:C12"/>
    <mergeCell ref="B11:C11"/>
  </mergeCells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01B3-1DDC-4812-9A89-A916ED8B763B}">
  <dimension ref="B2:I315"/>
  <sheetViews>
    <sheetView zoomScale="130" zoomScaleNormal="130" workbookViewId="0">
      <selection activeCell="G11" sqref="G11"/>
    </sheetView>
  </sheetViews>
  <sheetFormatPr defaultColWidth="8.85546875" defaultRowHeight="15"/>
  <cols>
    <col min="1" max="2" width="7.42578125" style="5" customWidth="1"/>
    <col min="3" max="7" width="24.28515625" style="5" customWidth="1"/>
    <col min="8" max="16384" width="8.85546875" style="5"/>
  </cols>
  <sheetData>
    <row r="2" spans="2:9">
      <c r="C2" s="11" t="s">
        <v>211</v>
      </c>
      <c r="D2" s="11" t="s">
        <v>212</v>
      </c>
      <c r="E2" s="11" t="s">
        <v>213</v>
      </c>
      <c r="F2" s="11" t="s">
        <v>214</v>
      </c>
      <c r="G2" s="11" t="s">
        <v>215</v>
      </c>
    </row>
    <row r="3" spans="2:9">
      <c r="C3" s="12">
        <v>10</v>
      </c>
      <c r="D3" s="12">
        <v>12</v>
      </c>
      <c r="E3" s="12">
        <v>8</v>
      </c>
      <c r="F3" s="12">
        <v>10</v>
      </c>
      <c r="G3" s="12">
        <v>8</v>
      </c>
    </row>
    <row r="4" spans="2:9">
      <c r="C4" s="10" t="s">
        <v>209</v>
      </c>
      <c r="D4" s="10" t="s">
        <v>35</v>
      </c>
      <c r="E4" s="10" t="s">
        <v>39</v>
      </c>
      <c r="F4" s="10" t="s">
        <v>204</v>
      </c>
      <c r="G4" s="10" t="s">
        <v>207</v>
      </c>
    </row>
    <row r="5" spans="2:9">
      <c r="C5" s="10" t="s">
        <v>37</v>
      </c>
      <c r="D5" s="10" t="s">
        <v>197</v>
      </c>
      <c r="E5" s="10" t="s">
        <v>205</v>
      </c>
      <c r="F5" s="10" t="s">
        <v>196</v>
      </c>
      <c r="G5" s="10" t="s">
        <v>202</v>
      </c>
    </row>
    <row r="6" spans="2:9">
      <c r="C6" s="10" t="s">
        <v>36</v>
      </c>
      <c r="D6" s="10" t="s">
        <v>34</v>
      </c>
      <c r="E6" s="10" t="s">
        <v>201</v>
      </c>
      <c r="F6" s="10" t="s">
        <v>1</v>
      </c>
      <c r="G6" s="10" t="s">
        <v>210</v>
      </c>
    </row>
    <row r="7" spans="2:9">
      <c r="C7" s="10" t="s">
        <v>198</v>
      </c>
      <c r="D7" s="10" t="s">
        <v>199</v>
      </c>
      <c r="E7" s="10" t="s">
        <v>195</v>
      </c>
      <c r="F7" s="10" t="s">
        <v>200</v>
      </c>
      <c r="G7" s="10" t="s">
        <v>203</v>
      </c>
    </row>
    <row r="8" spans="2:9">
      <c r="C8" s="10" t="s">
        <v>208</v>
      </c>
      <c r="D8" s="10" t="s">
        <v>38</v>
      </c>
      <c r="E8" s="7"/>
      <c r="F8" s="10" t="s">
        <v>206</v>
      </c>
      <c r="G8" s="8"/>
    </row>
    <row r="9" spans="2:9">
      <c r="B9" s="6"/>
    </row>
    <row r="10" spans="2:9">
      <c r="B10" s="6"/>
      <c r="C10" s="6"/>
      <c r="D10" s="6"/>
      <c r="E10" s="6"/>
      <c r="I10" s="6"/>
    </row>
    <row r="11" spans="2:9">
      <c r="B11" s="6"/>
      <c r="C11" s="105"/>
      <c r="D11" s="105"/>
      <c r="E11" s="6"/>
      <c r="I11" s="6"/>
    </row>
    <row r="12" spans="2:9">
      <c r="B12" s="106"/>
      <c r="C12" s="102"/>
      <c r="D12" s="102"/>
      <c r="E12" s="106"/>
      <c r="I12" s="6"/>
    </row>
    <row r="13" spans="2:9">
      <c r="B13" s="106"/>
      <c r="C13" s="103" t="s">
        <v>209</v>
      </c>
      <c r="D13" s="104" t="s">
        <v>235</v>
      </c>
      <c r="E13" s="106"/>
      <c r="I13" s="6"/>
    </row>
    <row r="14" spans="2:9">
      <c r="B14" s="106"/>
      <c r="C14" s="103" t="s">
        <v>37</v>
      </c>
      <c r="D14" s="104" t="s">
        <v>211</v>
      </c>
      <c r="E14" s="106"/>
      <c r="I14" s="6"/>
    </row>
    <row r="15" spans="2:9">
      <c r="B15" s="106"/>
      <c r="C15" s="103" t="s">
        <v>36</v>
      </c>
      <c r="D15" s="104" t="s">
        <v>211</v>
      </c>
      <c r="E15" s="106"/>
      <c r="I15" s="6"/>
    </row>
    <row r="16" spans="2:9">
      <c r="B16" s="106"/>
      <c r="C16" s="103" t="s">
        <v>198</v>
      </c>
      <c r="D16" s="104" t="s">
        <v>211</v>
      </c>
      <c r="E16" s="106"/>
      <c r="I16" s="6"/>
    </row>
    <row r="17" spans="2:9">
      <c r="B17" s="106"/>
      <c r="C17" s="103" t="s">
        <v>208</v>
      </c>
      <c r="D17" s="104" t="s">
        <v>211</v>
      </c>
      <c r="E17" s="106"/>
      <c r="I17" s="6"/>
    </row>
    <row r="18" spans="2:9">
      <c r="B18" s="106"/>
      <c r="C18" s="103" t="s">
        <v>35</v>
      </c>
      <c r="D18" s="104" t="s">
        <v>212</v>
      </c>
      <c r="E18" s="106"/>
      <c r="I18" s="6"/>
    </row>
    <row r="19" spans="2:9">
      <c r="B19" s="106"/>
      <c r="C19" s="103" t="s">
        <v>197</v>
      </c>
      <c r="D19" s="104" t="s">
        <v>212</v>
      </c>
      <c r="E19" s="106"/>
      <c r="I19" s="6"/>
    </row>
    <row r="20" spans="2:9">
      <c r="B20" s="106"/>
      <c r="C20" s="103" t="s">
        <v>34</v>
      </c>
      <c r="D20" s="104" t="s">
        <v>212</v>
      </c>
      <c r="E20" s="106"/>
      <c r="I20" s="6"/>
    </row>
    <row r="21" spans="2:9">
      <c r="B21" s="106"/>
      <c r="C21" s="103" t="s">
        <v>199</v>
      </c>
      <c r="D21" s="104" t="s">
        <v>212</v>
      </c>
      <c r="E21" s="106"/>
      <c r="I21" s="6"/>
    </row>
    <row r="22" spans="2:9">
      <c r="B22" s="106"/>
      <c r="C22" s="103" t="s">
        <v>38</v>
      </c>
      <c r="D22" s="104" t="s">
        <v>212</v>
      </c>
      <c r="E22" s="106"/>
      <c r="I22" s="6"/>
    </row>
    <row r="23" spans="2:9">
      <c r="B23" s="106"/>
      <c r="C23" s="103" t="s">
        <v>39</v>
      </c>
      <c r="D23" s="104" t="s">
        <v>213</v>
      </c>
      <c r="E23" s="106"/>
      <c r="I23" s="6"/>
    </row>
    <row r="24" spans="2:9">
      <c r="B24" s="106"/>
      <c r="C24" s="103" t="s">
        <v>205</v>
      </c>
      <c r="D24" s="104" t="s">
        <v>213</v>
      </c>
      <c r="E24" s="106"/>
      <c r="I24" s="6"/>
    </row>
    <row r="25" spans="2:9">
      <c r="B25" s="106"/>
      <c r="C25" s="103" t="s">
        <v>201</v>
      </c>
      <c r="D25" s="104" t="s">
        <v>213</v>
      </c>
      <c r="E25" s="106"/>
      <c r="I25" s="6"/>
    </row>
    <row r="26" spans="2:9">
      <c r="B26" s="106"/>
      <c r="C26" s="103" t="s">
        <v>195</v>
      </c>
      <c r="D26" s="104" t="s">
        <v>213</v>
      </c>
      <c r="E26" s="106"/>
    </row>
    <row r="27" spans="2:9">
      <c r="B27" s="106"/>
      <c r="C27" s="103" t="s">
        <v>204</v>
      </c>
      <c r="D27" s="104" t="s">
        <v>214</v>
      </c>
      <c r="E27" s="106"/>
    </row>
    <row r="28" spans="2:9">
      <c r="B28" s="106"/>
      <c r="C28" s="103" t="s">
        <v>196</v>
      </c>
      <c r="D28" s="104" t="s">
        <v>214</v>
      </c>
      <c r="E28" s="106"/>
    </row>
    <row r="29" spans="2:9">
      <c r="B29" s="106"/>
      <c r="C29" s="103" t="s">
        <v>1</v>
      </c>
      <c r="D29" s="104" t="s">
        <v>214</v>
      </c>
      <c r="E29" s="106"/>
    </row>
    <row r="30" spans="2:9">
      <c r="B30" s="106"/>
      <c r="C30" s="103" t="s">
        <v>200</v>
      </c>
      <c r="D30" s="104" t="s">
        <v>214</v>
      </c>
      <c r="E30" s="106"/>
    </row>
    <row r="31" spans="2:9">
      <c r="B31" s="106"/>
      <c r="C31" s="103" t="s">
        <v>206</v>
      </c>
      <c r="D31" s="104" t="s">
        <v>214</v>
      </c>
      <c r="E31" s="106"/>
    </row>
    <row r="32" spans="2:9">
      <c r="B32" s="106"/>
      <c r="C32" s="103" t="s">
        <v>207</v>
      </c>
      <c r="D32" s="104" t="s">
        <v>215</v>
      </c>
      <c r="E32" s="106"/>
    </row>
    <row r="33" spans="2:5">
      <c r="B33" s="106"/>
      <c r="C33" s="103" t="s">
        <v>202</v>
      </c>
      <c r="D33" s="104" t="s">
        <v>215</v>
      </c>
      <c r="E33" s="106"/>
    </row>
    <row r="34" spans="2:5">
      <c r="B34" s="106"/>
      <c r="C34" s="103" t="s">
        <v>210</v>
      </c>
      <c r="D34" s="104" t="s">
        <v>215</v>
      </c>
      <c r="E34" s="106"/>
    </row>
    <row r="35" spans="2:5">
      <c r="B35" s="106"/>
      <c r="C35" s="103" t="s">
        <v>203</v>
      </c>
      <c r="D35" s="104" t="s">
        <v>215</v>
      </c>
      <c r="E35" s="106"/>
    </row>
    <row r="36" spans="2:5">
      <c r="B36" s="106"/>
      <c r="C36" s="102"/>
      <c r="D36" s="102"/>
      <c r="E36" s="106"/>
    </row>
    <row r="37" spans="2:5">
      <c r="B37" s="106"/>
      <c r="C37" s="106"/>
      <c r="D37" s="106"/>
      <c r="E37" s="106"/>
    </row>
    <row r="38" spans="2:5">
      <c r="B38" s="106"/>
      <c r="C38" s="106"/>
      <c r="D38" s="106"/>
      <c r="E38" s="106"/>
    </row>
    <row r="39" spans="2:5">
      <c r="B39" s="106"/>
      <c r="C39" s="106"/>
      <c r="D39" s="106"/>
      <c r="E39" s="106"/>
    </row>
    <row r="40" spans="2:5">
      <c r="B40" s="106"/>
      <c r="C40" s="106"/>
      <c r="D40" s="106"/>
      <c r="E40" s="106"/>
    </row>
    <row r="41" spans="2:5">
      <c r="B41" s="106"/>
      <c r="C41" s="106"/>
      <c r="D41" s="106"/>
      <c r="E41" s="106"/>
    </row>
    <row r="42" spans="2:5">
      <c r="B42" s="106"/>
      <c r="C42" s="106"/>
      <c r="D42" s="106"/>
      <c r="E42" s="106"/>
    </row>
    <row r="43" spans="2:5">
      <c r="B43" s="106"/>
      <c r="C43" s="106"/>
      <c r="D43" s="106"/>
      <c r="E43" s="106"/>
    </row>
    <row r="44" spans="2:5">
      <c r="B44" s="106"/>
      <c r="C44" s="106"/>
      <c r="D44" s="106"/>
      <c r="E44" s="106"/>
    </row>
    <row r="45" spans="2:5">
      <c r="B45" s="106"/>
      <c r="C45" s="106"/>
      <c r="D45" s="106"/>
      <c r="E45" s="106"/>
    </row>
    <row r="46" spans="2:5">
      <c r="B46" s="106"/>
      <c r="C46" s="106"/>
      <c r="D46" s="106"/>
      <c r="E46" s="106"/>
    </row>
    <row r="47" spans="2:5">
      <c r="B47" s="106"/>
      <c r="C47" s="106"/>
      <c r="D47" s="106"/>
      <c r="E47" s="106"/>
    </row>
    <row r="48" spans="2:5">
      <c r="B48" s="106"/>
      <c r="C48" s="106"/>
      <c r="D48" s="106"/>
      <c r="E48" s="106"/>
    </row>
    <row r="49" spans="2:5">
      <c r="B49" s="106"/>
      <c r="C49" s="106"/>
      <c r="D49" s="106"/>
      <c r="E49" s="106"/>
    </row>
    <row r="50" spans="2:5">
      <c r="B50" s="106"/>
      <c r="C50" s="106"/>
      <c r="D50" s="106"/>
      <c r="E50" s="106"/>
    </row>
    <row r="51" spans="2:5">
      <c r="B51" s="106"/>
      <c r="C51" s="106"/>
      <c r="D51" s="106"/>
      <c r="E51" s="106"/>
    </row>
    <row r="52" spans="2:5">
      <c r="B52" s="106"/>
      <c r="C52" s="106"/>
      <c r="D52" s="106"/>
      <c r="E52" s="106"/>
    </row>
    <row r="53" spans="2:5">
      <c r="B53" s="106"/>
      <c r="C53" s="106"/>
      <c r="D53" s="106"/>
      <c r="E53" s="106"/>
    </row>
    <row r="54" spans="2:5">
      <c r="B54" s="106"/>
      <c r="C54" s="106"/>
      <c r="D54" s="106"/>
      <c r="E54" s="106"/>
    </row>
    <row r="55" spans="2:5">
      <c r="B55" s="106"/>
      <c r="C55" s="106"/>
      <c r="D55" s="106"/>
      <c r="E55" s="106"/>
    </row>
    <row r="56" spans="2:5">
      <c r="B56" s="106"/>
      <c r="C56" s="106"/>
      <c r="D56" s="106"/>
      <c r="E56" s="106"/>
    </row>
    <row r="57" spans="2:5">
      <c r="B57" s="106"/>
      <c r="C57" s="106"/>
      <c r="D57" s="106"/>
      <c r="E57" s="106"/>
    </row>
    <row r="58" spans="2:5">
      <c r="B58" s="106"/>
      <c r="C58" s="106"/>
      <c r="D58" s="106"/>
      <c r="E58" s="106"/>
    </row>
    <row r="59" spans="2:5">
      <c r="B59" s="106"/>
      <c r="C59" s="106"/>
      <c r="D59" s="106"/>
      <c r="E59" s="106"/>
    </row>
    <row r="60" spans="2:5">
      <c r="B60" s="106"/>
      <c r="C60" s="106"/>
      <c r="D60" s="106"/>
      <c r="E60" s="106"/>
    </row>
    <row r="61" spans="2:5">
      <c r="B61" s="106"/>
      <c r="C61" s="106"/>
      <c r="D61" s="106"/>
      <c r="E61" s="106"/>
    </row>
    <row r="62" spans="2:5">
      <c r="B62" s="106"/>
      <c r="C62" s="106"/>
      <c r="D62" s="106"/>
      <c r="E62" s="106"/>
    </row>
    <row r="63" spans="2:5">
      <c r="B63" s="106"/>
      <c r="C63" s="106"/>
      <c r="D63" s="106"/>
      <c r="E63" s="106"/>
    </row>
    <row r="64" spans="2:5">
      <c r="B64" s="106"/>
      <c r="C64" s="106"/>
      <c r="D64" s="106"/>
      <c r="E64" s="106"/>
    </row>
    <row r="65" spans="2:5">
      <c r="B65" s="106"/>
      <c r="C65" s="106"/>
      <c r="D65" s="106"/>
      <c r="E65" s="106"/>
    </row>
    <row r="66" spans="2:5">
      <c r="B66" s="106"/>
      <c r="C66" s="106"/>
      <c r="D66" s="106"/>
      <c r="E66" s="106"/>
    </row>
    <row r="67" spans="2:5">
      <c r="B67" s="106"/>
      <c r="C67" s="106"/>
      <c r="D67" s="106"/>
      <c r="E67" s="106"/>
    </row>
    <row r="68" spans="2:5">
      <c r="B68" s="106"/>
      <c r="C68" s="106"/>
      <c r="D68" s="106"/>
      <c r="E68" s="106"/>
    </row>
    <row r="69" spans="2:5">
      <c r="B69" s="106"/>
      <c r="C69" s="106"/>
      <c r="D69" s="106"/>
      <c r="E69" s="106"/>
    </row>
    <row r="70" spans="2:5">
      <c r="B70" s="106"/>
      <c r="C70" s="106"/>
      <c r="D70" s="106"/>
      <c r="E70" s="106"/>
    </row>
    <row r="71" spans="2:5">
      <c r="B71" s="106"/>
      <c r="C71" s="106"/>
      <c r="D71" s="106"/>
      <c r="E71" s="106"/>
    </row>
    <row r="72" spans="2:5">
      <c r="B72" s="106"/>
      <c r="C72" s="106"/>
      <c r="D72" s="106"/>
      <c r="E72" s="106"/>
    </row>
    <row r="73" spans="2:5">
      <c r="B73" s="106"/>
      <c r="C73" s="106"/>
      <c r="D73" s="106"/>
      <c r="E73" s="106"/>
    </row>
    <row r="74" spans="2:5">
      <c r="B74" s="106"/>
      <c r="C74" s="106"/>
      <c r="D74" s="106"/>
      <c r="E74" s="106"/>
    </row>
    <row r="75" spans="2:5">
      <c r="B75" s="106"/>
      <c r="C75" s="106"/>
      <c r="D75" s="106"/>
      <c r="E75" s="106"/>
    </row>
    <row r="76" spans="2:5">
      <c r="B76" s="106"/>
      <c r="C76" s="106"/>
      <c r="D76" s="106"/>
      <c r="E76" s="106"/>
    </row>
    <row r="77" spans="2:5">
      <c r="B77" s="106"/>
      <c r="C77" s="106"/>
      <c r="D77" s="106"/>
      <c r="E77" s="106"/>
    </row>
    <row r="78" spans="2:5">
      <c r="B78" s="106"/>
      <c r="C78" s="106"/>
      <c r="D78" s="106"/>
      <c r="E78" s="106"/>
    </row>
    <row r="79" spans="2:5">
      <c r="B79" s="106"/>
      <c r="C79" s="106"/>
      <c r="D79" s="106"/>
      <c r="E79" s="106"/>
    </row>
    <row r="80" spans="2:5">
      <c r="B80" s="106"/>
      <c r="C80" s="106"/>
      <c r="D80" s="106"/>
      <c r="E80" s="106"/>
    </row>
    <row r="81" spans="2:5">
      <c r="B81" s="106"/>
      <c r="C81" s="106"/>
      <c r="D81" s="106"/>
      <c r="E81" s="106"/>
    </row>
    <row r="82" spans="2:5">
      <c r="B82" s="106"/>
      <c r="C82" s="106"/>
      <c r="D82" s="106"/>
      <c r="E82" s="106"/>
    </row>
    <row r="83" spans="2:5">
      <c r="B83" s="106"/>
      <c r="C83" s="106"/>
      <c r="D83" s="106"/>
      <c r="E83" s="106"/>
    </row>
    <row r="84" spans="2:5">
      <c r="B84" s="106"/>
      <c r="C84" s="106"/>
      <c r="D84" s="106"/>
      <c r="E84" s="106"/>
    </row>
    <row r="85" spans="2:5">
      <c r="B85" s="106"/>
      <c r="C85" s="106"/>
      <c r="D85" s="106"/>
      <c r="E85" s="106"/>
    </row>
    <row r="86" spans="2:5">
      <c r="B86" s="106"/>
      <c r="C86" s="106"/>
      <c r="D86" s="106"/>
      <c r="E86" s="106"/>
    </row>
    <row r="87" spans="2:5">
      <c r="B87" s="106"/>
      <c r="C87" s="106"/>
      <c r="D87" s="106"/>
      <c r="E87" s="106"/>
    </row>
    <row r="88" spans="2:5">
      <c r="B88" s="106"/>
      <c r="C88" s="106"/>
      <c r="D88" s="106"/>
      <c r="E88" s="106"/>
    </row>
    <row r="89" spans="2:5">
      <c r="B89" s="106"/>
      <c r="C89" s="106"/>
      <c r="D89" s="106"/>
      <c r="E89" s="106"/>
    </row>
    <row r="90" spans="2:5">
      <c r="B90" s="106"/>
      <c r="C90" s="106"/>
      <c r="D90" s="106"/>
      <c r="E90" s="106"/>
    </row>
    <row r="91" spans="2:5">
      <c r="B91" s="106"/>
      <c r="C91" s="106"/>
      <c r="D91" s="106"/>
      <c r="E91" s="106"/>
    </row>
    <row r="92" spans="2:5">
      <c r="B92" s="106"/>
      <c r="C92" s="106"/>
      <c r="D92" s="106"/>
      <c r="E92" s="106"/>
    </row>
    <row r="93" spans="2:5">
      <c r="B93" s="106"/>
      <c r="C93" s="106"/>
      <c r="D93" s="106"/>
      <c r="E93" s="106"/>
    </row>
    <row r="94" spans="2:5">
      <c r="B94" s="106"/>
      <c r="C94" s="106"/>
      <c r="D94" s="106"/>
      <c r="E94" s="106"/>
    </row>
    <row r="95" spans="2:5">
      <c r="B95" s="106"/>
      <c r="C95" s="106"/>
      <c r="D95" s="106"/>
      <c r="E95" s="106"/>
    </row>
    <row r="96" spans="2:5">
      <c r="B96" s="106"/>
      <c r="C96" s="106"/>
      <c r="D96" s="106"/>
      <c r="E96" s="106"/>
    </row>
    <row r="97" spans="2:5">
      <c r="B97" s="106"/>
      <c r="C97" s="106"/>
      <c r="D97" s="106"/>
      <c r="E97" s="106"/>
    </row>
    <row r="98" spans="2:5">
      <c r="B98" s="106"/>
      <c r="C98" s="106"/>
      <c r="D98" s="106"/>
      <c r="E98" s="106"/>
    </row>
    <row r="99" spans="2:5">
      <c r="B99" s="106"/>
      <c r="C99" s="106"/>
      <c r="D99" s="106"/>
      <c r="E99" s="106"/>
    </row>
    <row r="100" spans="2:5">
      <c r="B100" s="106"/>
      <c r="C100" s="106"/>
      <c r="D100" s="106"/>
      <c r="E100" s="106"/>
    </row>
    <row r="101" spans="2:5">
      <c r="B101" s="106"/>
      <c r="C101" s="106"/>
      <c r="D101" s="106"/>
      <c r="E101" s="106"/>
    </row>
    <row r="102" spans="2:5">
      <c r="B102" s="106"/>
      <c r="C102" s="106"/>
      <c r="D102" s="106"/>
      <c r="E102" s="106"/>
    </row>
    <row r="103" spans="2:5">
      <c r="B103" s="106"/>
      <c r="C103" s="106"/>
      <c r="D103" s="106"/>
      <c r="E103" s="106"/>
    </row>
    <row r="104" spans="2:5">
      <c r="B104" s="106"/>
      <c r="C104" s="106"/>
      <c r="D104" s="106"/>
      <c r="E104" s="106"/>
    </row>
    <row r="105" spans="2:5">
      <c r="B105" s="106"/>
      <c r="C105" s="106"/>
      <c r="D105" s="106"/>
      <c r="E105" s="106"/>
    </row>
    <row r="106" spans="2:5">
      <c r="B106" s="106"/>
      <c r="C106" s="106"/>
      <c r="D106" s="106"/>
      <c r="E106" s="106"/>
    </row>
    <row r="107" spans="2:5">
      <c r="B107" s="106"/>
      <c r="C107" s="106"/>
      <c r="D107" s="106"/>
      <c r="E107" s="106"/>
    </row>
    <row r="108" spans="2:5">
      <c r="B108" s="106"/>
      <c r="C108" s="106"/>
      <c r="D108" s="106"/>
      <c r="E108" s="106"/>
    </row>
    <row r="109" spans="2:5">
      <c r="B109" s="106"/>
      <c r="C109" s="106"/>
      <c r="D109" s="106"/>
      <c r="E109" s="106"/>
    </row>
    <row r="110" spans="2:5">
      <c r="B110" s="106"/>
      <c r="C110" s="106"/>
      <c r="D110" s="106"/>
      <c r="E110" s="106"/>
    </row>
    <row r="111" spans="2:5">
      <c r="B111" s="106"/>
      <c r="C111" s="106"/>
      <c r="D111" s="106"/>
      <c r="E111" s="106"/>
    </row>
    <row r="112" spans="2:5">
      <c r="B112" s="106"/>
      <c r="C112" s="106"/>
      <c r="D112" s="106"/>
      <c r="E112" s="106"/>
    </row>
    <row r="113" spans="2:5">
      <c r="B113" s="106"/>
      <c r="C113" s="106"/>
      <c r="D113" s="106"/>
      <c r="E113" s="106"/>
    </row>
    <row r="114" spans="2:5">
      <c r="B114" s="106"/>
      <c r="C114" s="106"/>
      <c r="D114" s="106"/>
      <c r="E114" s="106"/>
    </row>
    <row r="115" spans="2:5">
      <c r="B115" s="106"/>
      <c r="C115" s="106"/>
      <c r="D115" s="106"/>
      <c r="E115" s="106"/>
    </row>
    <row r="116" spans="2:5">
      <c r="B116" s="106"/>
      <c r="C116" s="106"/>
      <c r="D116" s="106"/>
      <c r="E116" s="106"/>
    </row>
    <row r="117" spans="2:5">
      <c r="B117" s="106"/>
      <c r="C117" s="106"/>
      <c r="D117" s="106"/>
      <c r="E117" s="106"/>
    </row>
    <row r="118" spans="2:5">
      <c r="B118" s="106"/>
      <c r="C118" s="106"/>
      <c r="D118" s="106"/>
      <c r="E118" s="106"/>
    </row>
    <row r="119" spans="2:5">
      <c r="B119" s="106"/>
      <c r="C119" s="106"/>
      <c r="D119" s="106"/>
      <c r="E119" s="106"/>
    </row>
    <row r="120" spans="2:5">
      <c r="B120" s="106"/>
      <c r="C120" s="106"/>
      <c r="D120" s="106"/>
      <c r="E120" s="106"/>
    </row>
    <row r="121" spans="2:5">
      <c r="B121" s="106"/>
      <c r="C121" s="106"/>
      <c r="D121" s="106"/>
      <c r="E121" s="106"/>
    </row>
    <row r="122" spans="2:5">
      <c r="B122" s="106"/>
      <c r="C122" s="106"/>
      <c r="D122" s="106"/>
      <c r="E122" s="106"/>
    </row>
    <row r="123" spans="2:5">
      <c r="B123" s="106"/>
      <c r="C123" s="106"/>
      <c r="D123" s="106"/>
      <c r="E123" s="106"/>
    </row>
    <row r="124" spans="2:5">
      <c r="B124" s="106"/>
      <c r="C124" s="106"/>
      <c r="D124" s="106"/>
      <c r="E124" s="106"/>
    </row>
    <row r="125" spans="2:5">
      <c r="B125" s="106"/>
      <c r="C125" s="106"/>
      <c r="D125" s="106"/>
      <c r="E125" s="106"/>
    </row>
    <row r="126" spans="2:5">
      <c r="B126" s="106"/>
      <c r="C126" s="106"/>
      <c r="D126" s="106"/>
      <c r="E126" s="106"/>
    </row>
    <row r="127" spans="2:5">
      <c r="B127" s="106"/>
      <c r="C127" s="106"/>
      <c r="D127" s="106"/>
      <c r="E127" s="106"/>
    </row>
    <row r="128" spans="2:5">
      <c r="B128" s="106"/>
      <c r="C128" s="106"/>
      <c r="D128" s="106"/>
      <c r="E128" s="106"/>
    </row>
    <row r="129" spans="2:5">
      <c r="B129" s="106"/>
      <c r="C129" s="106"/>
      <c r="D129" s="106"/>
      <c r="E129" s="106"/>
    </row>
    <row r="130" spans="2:5">
      <c r="B130" s="106"/>
      <c r="C130" s="106"/>
      <c r="D130" s="106"/>
      <c r="E130" s="106"/>
    </row>
    <row r="131" spans="2:5">
      <c r="B131" s="106"/>
      <c r="C131" s="106"/>
      <c r="D131" s="106"/>
      <c r="E131" s="106"/>
    </row>
    <row r="132" spans="2:5">
      <c r="B132" s="106"/>
      <c r="C132" s="106"/>
      <c r="D132" s="106"/>
      <c r="E132" s="106"/>
    </row>
    <row r="133" spans="2:5">
      <c r="B133" s="106"/>
      <c r="C133" s="106"/>
      <c r="D133" s="106"/>
      <c r="E133" s="106"/>
    </row>
    <row r="134" spans="2:5">
      <c r="B134" s="106"/>
      <c r="C134" s="106"/>
      <c r="D134" s="106"/>
      <c r="E134" s="106"/>
    </row>
    <row r="135" spans="2:5">
      <c r="B135" s="106"/>
      <c r="C135" s="106"/>
      <c r="D135" s="106"/>
      <c r="E135" s="106"/>
    </row>
    <row r="136" spans="2:5">
      <c r="B136" s="106"/>
      <c r="C136" s="106"/>
      <c r="D136" s="106"/>
      <c r="E136" s="106"/>
    </row>
    <row r="137" spans="2:5">
      <c r="B137" s="106"/>
      <c r="C137" s="106"/>
      <c r="D137" s="106"/>
      <c r="E137" s="106"/>
    </row>
    <row r="138" spans="2:5">
      <c r="B138" s="106"/>
      <c r="C138" s="106"/>
      <c r="D138" s="106"/>
      <c r="E138" s="106"/>
    </row>
    <row r="139" spans="2:5">
      <c r="B139" s="106"/>
      <c r="C139" s="106"/>
      <c r="D139" s="106"/>
      <c r="E139" s="106"/>
    </row>
    <row r="140" spans="2:5">
      <c r="B140" s="106"/>
      <c r="C140" s="106"/>
      <c r="D140" s="106"/>
      <c r="E140" s="106"/>
    </row>
    <row r="141" spans="2:5">
      <c r="B141" s="106"/>
      <c r="C141" s="106"/>
      <c r="D141" s="106"/>
      <c r="E141" s="106"/>
    </row>
    <row r="142" spans="2:5">
      <c r="B142" s="106"/>
      <c r="C142" s="106"/>
      <c r="D142" s="106"/>
      <c r="E142" s="106"/>
    </row>
    <row r="143" spans="2:5">
      <c r="B143" s="106"/>
      <c r="C143" s="106"/>
      <c r="D143" s="106"/>
      <c r="E143" s="106"/>
    </row>
    <row r="144" spans="2:5">
      <c r="B144" s="106"/>
      <c r="C144" s="106"/>
      <c r="D144" s="106"/>
      <c r="E144" s="106"/>
    </row>
    <row r="145" spans="2:5">
      <c r="B145" s="106"/>
      <c r="C145" s="106"/>
      <c r="D145" s="106"/>
      <c r="E145" s="106"/>
    </row>
    <row r="146" spans="2:5">
      <c r="B146" s="106"/>
      <c r="C146" s="106"/>
      <c r="D146" s="106"/>
      <c r="E146" s="106"/>
    </row>
    <row r="147" spans="2:5">
      <c r="B147" s="106"/>
      <c r="C147" s="106"/>
      <c r="D147" s="106"/>
      <c r="E147" s="106"/>
    </row>
    <row r="148" spans="2:5">
      <c r="B148" s="106"/>
      <c r="C148" s="106"/>
      <c r="D148" s="106"/>
      <c r="E148" s="106"/>
    </row>
    <row r="149" spans="2:5">
      <c r="B149" s="106"/>
      <c r="C149" s="106"/>
      <c r="D149" s="106"/>
      <c r="E149" s="106"/>
    </row>
    <row r="150" spans="2:5">
      <c r="B150" s="106"/>
      <c r="C150" s="106"/>
      <c r="D150" s="106"/>
      <c r="E150" s="106"/>
    </row>
    <row r="151" spans="2:5">
      <c r="B151" s="106"/>
      <c r="C151" s="106"/>
      <c r="D151" s="106"/>
      <c r="E151" s="106"/>
    </row>
    <row r="152" spans="2:5">
      <c r="B152" s="106"/>
      <c r="C152" s="106"/>
      <c r="D152" s="106"/>
      <c r="E152" s="106"/>
    </row>
    <row r="153" spans="2:5">
      <c r="B153" s="106"/>
      <c r="C153" s="106"/>
      <c r="D153" s="106"/>
      <c r="E153" s="106"/>
    </row>
    <row r="154" spans="2:5">
      <c r="B154" s="106"/>
      <c r="C154" s="106"/>
      <c r="D154" s="106"/>
      <c r="E154" s="106"/>
    </row>
    <row r="155" spans="2:5">
      <c r="B155" s="106"/>
      <c r="C155" s="106"/>
      <c r="D155" s="106"/>
      <c r="E155" s="106"/>
    </row>
    <row r="156" spans="2:5">
      <c r="B156" s="106"/>
      <c r="C156" s="106"/>
      <c r="D156" s="106"/>
      <c r="E156" s="106"/>
    </row>
    <row r="157" spans="2:5">
      <c r="B157" s="106"/>
      <c r="C157" s="106"/>
      <c r="D157" s="106"/>
      <c r="E157" s="106"/>
    </row>
    <row r="158" spans="2:5">
      <c r="B158" s="106"/>
      <c r="C158" s="106"/>
      <c r="D158" s="106"/>
      <c r="E158" s="106"/>
    </row>
    <row r="159" spans="2:5">
      <c r="B159" s="106"/>
      <c r="C159" s="106"/>
      <c r="D159" s="106"/>
      <c r="E159" s="106"/>
    </row>
    <row r="160" spans="2:5">
      <c r="B160" s="106"/>
      <c r="C160" s="106"/>
      <c r="D160" s="106"/>
      <c r="E160" s="106"/>
    </row>
    <row r="161" spans="2:5">
      <c r="B161" s="106"/>
      <c r="C161" s="106"/>
      <c r="D161" s="106"/>
      <c r="E161" s="106"/>
    </row>
    <row r="162" spans="2:5">
      <c r="B162" s="106"/>
      <c r="C162" s="106"/>
      <c r="D162" s="106"/>
      <c r="E162" s="106"/>
    </row>
    <row r="163" spans="2:5">
      <c r="B163" s="106"/>
      <c r="C163" s="106"/>
      <c r="D163" s="106"/>
      <c r="E163" s="106"/>
    </row>
    <row r="164" spans="2:5">
      <c r="B164" s="106"/>
      <c r="C164" s="106"/>
      <c r="D164" s="106"/>
      <c r="E164" s="106"/>
    </row>
    <row r="165" spans="2:5">
      <c r="B165" s="106"/>
      <c r="C165" s="106"/>
      <c r="D165" s="106"/>
      <c r="E165" s="106"/>
    </row>
    <row r="166" spans="2:5">
      <c r="B166" s="106"/>
      <c r="C166" s="106"/>
      <c r="D166" s="106"/>
      <c r="E166" s="106"/>
    </row>
    <row r="167" spans="2:5">
      <c r="B167" s="106"/>
      <c r="C167" s="106"/>
      <c r="D167" s="106"/>
      <c r="E167" s="106"/>
    </row>
    <row r="168" spans="2:5">
      <c r="B168" s="106"/>
      <c r="C168" s="106"/>
      <c r="D168" s="106"/>
      <c r="E168" s="106"/>
    </row>
    <row r="169" spans="2:5">
      <c r="B169" s="106"/>
      <c r="C169" s="106"/>
      <c r="D169" s="106"/>
      <c r="E169" s="106"/>
    </row>
    <row r="170" spans="2:5">
      <c r="B170" s="106"/>
      <c r="C170" s="106"/>
      <c r="D170" s="106"/>
      <c r="E170" s="106"/>
    </row>
    <row r="171" spans="2:5">
      <c r="B171" s="106"/>
      <c r="C171" s="106"/>
      <c r="D171" s="106"/>
      <c r="E171" s="106"/>
    </row>
    <row r="172" spans="2:5">
      <c r="B172" s="106"/>
      <c r="C172" s="106"/>
      <c r="D172" s="106"/>
      <c r="E172" s="106"/>
    </row>
    <row r="173" spans="2:5">
      <c r="B173" s="106"/>
      <c r="C173" s="106"/>
      <c r="D173" s="106"/>
      <c r="E173" s="106"/>
    </row>
    <row r="174" spans="2:5">
      <c r="B174" s="106"/>
      <c r="C174" s="106"/>
      <c r="D174" s="106"/>
      <c r="E174" s="106"/>
    </row>
    <row r="175" spans="2:5">
      <c r="B175" s="106"/>
      <c r="C175" s="106"/>
      <c r="D175" s="106"/>
      <c r="E175" s="106"/>
    </row>
    <row r="176" spans="2:5">
      <c r="B176" s="106"/>
      <c r="C176" s="106"/>
      <c r="D176" s="106"/>
      <c r="E176" s="106"/>
    </row>
    <row r="177" spans="2:5">
      <c r="B177" s="106"/>
      <c r="C177" s="106"/>
      <c r="D177" s="106"/>
      <c r="E177" s="106"/>
    </row>
    <row r="178" spans="2:5">
      <c r="B178" s="106"/>
      <c r="C178" s="106"/>
      <c r="D178" s="106"/>
      <c r="E178" s="106"/>
    </row>
    <row r="179" spans="2:5">
      <c r="B179" s="106"/>
      <c r="C179" s="106"/>
      <c r="D179" s="106"/>
      <c r="E179" s="106"/>
    </row>
    <row r="180" spans="2:5">
      <c r="B180" s="106"/>
      <c r="C180" s="106"/>
      <c r="D180" s="106"/>
      <c r="E180" s="106"/>
    </row>
    <row r="181" spans="2:5">
      <c r="B181" s="106"/>
      <c r="C181" s="106"/>
      <c r="D181" s="106"/>
      <c r="E181" s="106"/>
    </row>
    <row r="182" spans="2:5">
      <c r="B182" s="106"/>
      <c r="C182" s="106"/>
      <c r="D182" s="106"/>
      <c r="E182" s="106"/>
    </row>
    <row r="183" spans="2:5">
      <c r="B183" s="106"/>
      <c r="C183" s="106"/>
      <c r="D183" s="106"/>
      <c r="E183" s="106"/>
    </row>
    <row r="184" spans="2:5">
      <c r="B184" s="106"/>
      <c r="C184" s="106"/>
      <c r="D184" s="106"/>
      <c r="E184" s="106"/>
    </row>
    <row r="185" spans="2:5">
      <c r="B185" s="106"/>
      <c r="C185" s="106"/>
      <c r="D185" s="106"/>
      <c r="E185" s="106"/>
    </row>
    <row r="186" spans="2:5">
      <c r="B186" s="106"/>
      <c r="C186" s="106"/>
      <c r="D186" s="106"/>
      <c r="E186" s="106"/>
    </row>
    <row r="187" spans="2:5">
      <c r="B187" s="106"/>
      <c r="C187" s="106"/>
      <c r="D187" s="106"/>
      <c r="E187" s="106"/>
    </row>
    <row r="188" spans="2:5">
      <c r="B188" s="106"/>
      <c r="C188" s="106"/>
      <c r="D188" s="106"/>
      <c r="E188" s="106"/>
    </row>
    <row r="189" spans="2:5">
      <c r="B189" s="106"/>
      <c r="C189" s="106"/>
      <c r="D189" s="106"/>
      <c r="E189" s="106"/>
    </row>
    <row r="190" spans="2:5">
      <c r="B190" s="106"/>
      <c r="C190" s="106"/>
      <c r="D190" s="106"/>
      <c r="E190" s="106"/>
    </row>
    <row r="191" spans="2:5">
      <c r="B191" s="106"/>
      <c r="C191" s="106"/>
      <c r="D191" s="106"/>
      <c r="E191" s="106"/>
    </row>
    <row r="192" spans="2:5">
      <c r="B192" s="106"/>
      <c r="C192" s="106"/>
      <c r="D192" s="106"/>
      <c r="E192" s="106"/>
    </row>
    <row r="193" spans="2:5">
      <c r="B193" s="106"/>
      <c r="C193" s="106"/>
      <c r="D193" s="106"/>
      <c r="E193" s="106"/>
    </row>
    <row r="194" spans="2:5">
      <c r="B194" s="106"/>
      <c r="C194" s="106"/>
      <c r="D194" s="106"/>
      <c r="E194" s="106"/>
    </row>
    <row r="195" spans="2:5">
      <c r="B195" s="106"/>
      <c r="C195" s="106"/>
      <c r="D195" s="106"/>
      <c r="E195" s="106"/>
    </row>
    <row r="196" spans="2:5">
      <c r="B196" s="106"/>
      <c r="C196" s="106"/>
      <c r="D196" s="106"/>
      <c r="E196" s="106"/>
    </row>
    <row r="197" spans="2:5">
      <c r="B197" s="106"/>
      <c r="C197" s="106"/>
      <c r="D197" s="106"/>
      <c r="E197" s="106"/>
    </row>
    <row r="198" spans="2:5">
      <c r="B198" s="106"/>
      <c r="C198" s="106"/>
      <c r="D198" s="106"/>
      <c r="E198" s="106"/>
    </row>
    <row r="199" spans="2:5">
      <c r="B199" s="106"/>
      <c r="C199" s="106"/>
      <c r="D199" s="106"/>
      <c r="E199" s="106"/>
    </row>
    <row r="200" spans="2:5">
      <c r="B200" s="106"/>
      <c r="C200" s="106"/>
      <c r="D200" s="106"/>
      <c r="E200" s="106"/>
    </row>
    <row r="201" spans="2:5">
      <c r="B201" s="106"/>
      <c r="C201" s="106"/>
      <c r="D201" s="106"/>
      <c r="E201" s="106"/>
    </row>
    <row r="202" spans="2:5">
      <c r="B202" s="106"/>
      <c r="C202" s="106"/>
      <c r="D202" s="106"/>
      <c r="E202" s="106"/>
    </row>
    <row r="203" spans="2:5">
      <c r="B203" s="106"/>
      <c r="C203" s="106"/>
      <c r="D203" s="106"/>
      <c r="E203" s="106"/>
    </row>
    <row r="204" spans="2:5">
      <c r="B204" s="106"/>
      <c r="C204" s="106"/>
      <c r="D204" s="106"/>
      <c r="E204" s="106"/>
    </row>
    <row r="205" spans="2:5">
      <c r="B205" s="106"/>
      <c r="C205" s="106"/>
      <c r="D205" s="106"/>
      <c r="E205" s="106"/>
    </row>
    <row r="206" spans="2:5">
      <c r="B206" s="106"/>
      <c r="C206" s="106"/>
      <c r="D206" s="106"/>
      <c r="E206" s="106"/>
    </row>
    <row r="207" spans="2:5">
      <c r="B207" s="106"/>
      <c r="C207" s="106"/>
      <c r="D207" s="106"/>
      <c r="E207" s="106"/>
    </row>
    <row r="208" spans="2:5">
      <c r="B208" s="106"/>
      <c r="C208" s="106"/>
      <c r="D208" s="106"/>
      <c r="E208" s="106"/>
    </row>
    <row r="209" spans="2:5">
      <c r="B209" s="106"/>
      <c r="C209" s="106"/>
      <c r="D209" s="106"/>
      <c r="E209" s="106"/>
    </row>
    <row r="210" spans="2:5">
      <c r="B210" s="106"/>
      <c r="C210" s="106"/>
      <c r="D210" s="106"/>
      <c r="E210" s="106"/>
    </row>
    <row r="211" spans="2:5">
      <c r="B211" s="106"/>
      <c r="C211" s="106"/>
      <c r="D211" s="106"/>
      <c r="E211" s="106"/>
    </row>
    <row r="212" spans="2:5">
      <c r="B212" s="106"/>
      <c r="C212" s="106"/>
      <c r="D212" s="106"/>
      <c r="E212" s="106"/>
    </row>
    <row r="213" spans="2:5">
      <c r="B213" s="106"/>
      <c r="C213" s="106"/>
      <c r="D213" s="106"/>
      <c r="E213" s="106"/>
    </row>
    <row r="214" spans="2:5">
      <c r="B214" s="106"/>
      <c r="C214" s="106"/>
      <c r="D214" s="106"/>
      <c r="E214" s="106"/>
    </row>
    <row r="215" spans="2:5">
      <c r="B215" s="106"/>
      <c r="C215" s="106"/>
      <c r="D215" s="106"/>
      <c r="E215" s="106"/>
    </row>
    <row r="216" spans="2:5">
      <c r="B216" s="106"/>
      <c r="C216" s="106"/>
      <c r="D216" s="106"/>
      <c r="E216" s="106"/>
    </row>
    <row r="217" spans="2:5">
      <c r="B217" s="106"/>
      <c r="C217" s="106"/>
      <c r="D217" s="106"/>
      <c r="E217" s="106"/>
    </row>
    <row r="218" spans="2:5">
      <c r="B218" s="106"/>
      <c r="C218" s="106"/>
      <c r="D218" s="106"/>
      <c r="E218" s="106"/>
    </row>
    <row r="219" spans="2:5">
      <c r="B219" s="106"/>
      <c r="C219" s="106"/>
      <c r="D219" s="106"/>
      <c r="E219" s="106"/>
    </row>
    <row r="220" spans="2:5">
      <c r="B220" s="106"/>
      <c r="C220" s="106"/>
      <c r="D220" s="106"/>
      <c r="E220" s="106"/>
    </row>
    <row r="221" spans="2:5">
      <c r="B221" s="106"/>
      <c r="C221" s="106"/>
      <c r="D221" s="106"/>
      <c r="E221" s="106"/>
    </row>
    <row r="222" spans="2:5">
      <c r="B222" s="106"/>
      <c r="C222" s="106"/>
      <c r="D222" s="106"/>
      <c r="E222" s="106"/>
    </row>
    <row r="223" spans="2:5">
      <c r="B223" s="106"/>
      <c r="C223" s="106"/>
      <c r="D223" s="106"/>
      <c r="E223" s="106"/>
    </row>
    <row r="224" spans="2:5">
      <c r="B224" s="106"/>
      <c r="C224" s="106"/>
      <c r="D224" s="106"/>
      <c r="E224" s="106"/>
    </row>
    <row r="225" spans="2:5">
      <c r="B225" s="106"/>
      <c r="C225" s="106"/>
      <c r="D225" s="106"/>
      <c r="E225" s="106"/>
    </row>
    <row r="226" spans="2:5">
      <c r="B226" s="106"/>
      <c r="C226" s="106"/>
      <c r="D226" s="106"/>
      <c r="E226" s="106"/>
    </row>
    <row r="227" spans="2:5">
      <c r="B227" s="106"/>
      <c r="C227" s="106"/>
      <c r="D227" s="106"/>
      <c r="E227" s="106"/>
    </row>
    <row r="228" spans="2:5">
      <c r="B228" s="106"/>
      <c r="C228" s="106"/>
      <c r="D228" s="106"/>
      <c r="E228" s="106"/>
    </row>
    <row r="229" spans="2:5">
      <c r="B229" s="106"/>
      <c r="C229" s="106"/>
      <c r="D229" s="106"/>
      <c r="E229" s="106"/>
    </row>
    <row r="230" spans="2:5">
      <c r="B230" s="106"/>
      <c r="C230" s="106"/>
      <c r="D230" s="106"/>
      <c r="E230" s="106"/>
    </row>
    <row r="231" spans="2:5">
      <c r="B231" s="106"/>
      <c r="C231" s="106"/>
      <c r="D231" s="106"/>
      <c r="E231" s="106"/>
    </row>
    <row r="232" spans="2:5">
      <c r="B232" s="106"/>
      <c r="C232" s="106"/>
      <c r="D232" s="106"/>
      <c r="E232" s="106"/>
    </row>
    <row r="233" spans="2:5">
      <c r="B233" s="106"/>
      <c r="C233" s="106"/>
      <c r="D233" s="106"/>
      <c r="E233" s="106"/>
    </row>
    <row r="234" spans="2:5">
      <c r="B234" s="106"/>
      <c r="C234" s="106"/>
      <c r="D234" s="106"/>
      <c r="E234" s="106"/>
    </row>
    <row r="235" spans="2:5">
      <c r="B235" s="106"/>
      <c r="C235" s="106"/>
      <c r="D235" s="106"/>
      <c r="E235" s="106"/>
    </row>
    <row r="236" spans="2:5">
      <c r="B236" s="106"/>
      <c r="C236" s="106"/>
      <c r="D236" s="106"/>
      <c r="E236" s="106"/>
    </row>
    <row r="237" spans="2:5">
      <c r="B237" s="106"/>
      <c r="C237" s="106"/>
      <c r="D237" s="106"/>
      <c r="E237" s="106"/>
    </row>
    <row r="238" spans="2:5">
      <c r="B238" s="106"/>
      <c r="C238" s="106"/>
      <c r="D238" s="106"/>
      <c r="E238" s="106"/>
    </row>
    <row r="239" spans="2:5">
      <c r="B239" s="106"/>
      <c r="C239" s="106"/>
      <c r="D239" s="106"/>
      <c r="E239" s="106"/>
    </row>
    <row r="240" spans="2:5">
      <c r="B240" s="106"/>
      <c r="C240" s="106"/>
      <c r="D240" s="106"/>
      <c r="E240" s="106"/>
    </row>
    <row r="241" spans="2:5">
      <c r="B241" s="106"/>
      <c r="C241" s="106"/>
      <c r="D241" s="106"/>
      <c r="E241" s="106"/>
    </row>
    <row r="242" spans="2:5">
      <c r="B242" s="106"/>
      <c r="C242" s="106"/>
      <c r="D242" s="106"/>
      <c r="E242" s="106"/>
    </row>
    <row r="243" spans="2:5">
      <c r="B243" s="106"/>
      <c r="C243" s="106"/>
      <c r="D243" s="106"/>
      <c r="E243" s="106"/>
    </row>
    <row r="244" spans="2:5">
      <c r="B244" s="106"/>
      <c r="C244" s="106"/>
      <c r="D244" s="106"/>
      <c r="E244" s="106"/>
    </row>
    <row r="245" spans="2:5">
      <c r="B245" s="106"/>
      <c r="C245" s="106"/>
      <c r="D245" s="106"/>
      <c r="E245" s="106"/>
    </row>
    <row r="246" spans="2:5">
      <c r="B246" s="106"/>
      <c r="C246" s="106"/>
      <c r="D246" s="106"/>
      <c r="E246" s="106"/>
    </row>
    <row r="247" spans="2:5">
      <c r="B247" s="106"/>
      <c r="C247" s="106"/>
      <c r="D247" s="106"/>
      <c r="E247" s="106"/>
    </row>
    <row r="248" spans="2:5">
      <c r="B248" s="106"/>
      <c r="C248" s="106"/>
      <c r="D248" s="106"/>
      <c r="E248" s="106"/>
    </row>
    <row r="249" spans="2:5">
      <c r="B249" s="106"/>
      <c r="C249" s="106"/>
      <c r="D249" s="106"/>
      <c r="E249" s="106"/>
    </row>
    <row r="250" spans="2:5">
      <c r="B250" s="106"/>
      <c r="C250" s="106"/>
      <c r="D250" s="106"/>
      <c r="E250" s="106"/>
    </row>
    <row r="251" spans="2:5">
      <c r="B251" s="106"/>
      <c r="C251" s="106"/>
      <c r="D251" s="106"/>
      <c r="E251" s="106"/>
    </row>
    <row r="252" spans="2:5">
      <c r="B252" s="106"/>
      <c r="C252" s="106"/>
      <c r="D252" s="106"/>
      <c r="E252" s="106"/>
    </row>
    <row r="253" spans="2:5">
      <c r="B253" s="106"/>
      <c r="C253" s="106"/>
      <c r="D253" s="106"/>
      <c r="E253" s="106"/>
    </row>
    <row r="254" spans="2:5">
      <c r="B254" s="106"/>
      <c r="C254" s="106"/>
      <c r="D254" s="106"/>
      <c r="E254" s="106"/>
    </row>
    <row r="255" spans="2:5">
      <c r="B255" s="106"/>
      <c r="C255" s="106"/>
      <c r="D255" s="106"/>
      <c r="E255" s="106"/>
    </row>
    <row r="256" spans="2:5">
      <c r="B256" s="106"/>
      <c r="C256" s="106"/>
      <c r="D256" s="106"/>
      <c r="E256" s="106"/>
    </row>
    <row r="257" spans="2:5">
      <c r="B257" s="106"/>
      <c r="C257" s="106"/>
      <c r="D257" s="106"/>
      <c r="E257" s="106"/>
    </row>
    <row r="258" spans="2:5">
      <c r="B258" s="106"/>
      <c r="C258" s="106"/>
      <c r="D258" s="106"/>
      <c r="E258" s="106"/>
    </row>
    <row r="259" spans="2:5">
      <c r="B259" s="106"/>
      <c r="C259" s="106"/>
      <c r="D259" s="106"/>
      <c r="E259" s="106"/>
    </row>
    <row r="260" spans="2:5">
      <c r="B260" s="106"/>
      <c r="C260" s="106"/>
      <c r="D260" s="106"/>
      <c r="E260" s="106"/>
    </row>
    <row r="261" spans="2:5">
      <c r="B261" s="106"/>
      <c r="C261" s="106"/>
      <c r="D261" s="106"/>
      <c r="E261" s="106"/>
    </row>
    <row r="262" spans="2:5">
      <c r="B262" s="106"/>
      <c r="C262" s="106"/>
      <c r="D262" s="106"/>
      <c r="E262" s="106"/>
    </row>
    <row r="263" spans="2:5">
      <c r="B263" s="106"/>
      <c r="C263" s="106"/>
      <c r="D263" s="106"/>
      <c r="E263" s="106"/>
    </row>
    <row r="264" spans="2:5">
      <c r="B264" s="106"/>
      <c r="C264" s="106"/>
      <c r="D264" s="106"/>
      <c r="E264" s="106"/>
    </row>
    <row r="265" spans="2:5">
      <c r="B265" s="106"/>
      <c r="C265" s="106"/>
      <c r="D265" s="106"/>
      <c r="E265" s="106"/>
    </row>
    <row r="266" spans="2:5">
      <c r="B266" s="106"/>
      <c r="C266" s="106"/>
      <c r="D266" s="106"/>
      <c r="E266" s="106"/>
    </row>
    <row r="267" spans="2:5">
      <c r="B267" s="106"/>
      <c r="C267" s="106"/>
      <c r="D267" s="106"/>
      <c r="E267" s="106"/>
    </row>
    <row r="268" spans="2:5">
      <c r="B268" s="106"/>
      <c r="C268" s="106"/>
      <c r="D268" s="106"/>
      <c r="E268" s="106"/>
    </row>
    <row r="269" spans="2:5">
      <c r="B269" s="106"/>
      <c r="C269" s="106"/>
      <c r="D269" s="106"/>
      <c r="E269" s="106"/>
    </row>
    <row r="270" spans="2:5">
      <c r="B270" s="106"/>
      <c r="C270" s="106"/>
      <c r="D270" s="106"/>
      <c r="E270" s="106"/>
    </row>
    <row r="271" spans="2:5">
      <c r="B271" s="106"/>
      <c r="C271" s="106"/>
      <c r="D271" s="106"/>
      <c r="E271" s="106"/>
    </row>
    <row r="272" spans="2:5">
      <c r="B272" s="106"/>
      <c r="C272" s="106"/>
      <c r="D272" s="106"/>
      <c r="E272" s="106"/>
    </row>
    <row r="273" spans="2:5">
      <c r="B273" s="106"/>
      <c r="C273" s="106"/>
      <c r="D273" s="106"/>
      <c r="E273" s="106"/>
    </row>
    <row r="274" spans="2:5">
      <c r="B274" s="106"/>
      <c r="C274" s="106"/>
      <c r="D274" s="106"/>
      <c r="E274" s="106"/>
    </row>
    <row r="275" spans="2:5">
      <c r="B275" s="106"/>
      <c r="C275" s="106"/>
      <c r="D275" s="106"/>
      <c r="E275" s="106"/>
    </row>
    <row r="276" spans="2:5">
      <c r="B276" s="106"/>
      <c r="C276" s="106"/>
      <c r="D276" s="106"/>
      <c r="E276" s="106"/>
    </row>
    <row r="277" spans="2:5">
      <c r="B277" s="106"/>
      <c r="C277" s="106"/>
      <c r="D277" s="106"/>
      <c r="E277" s="106"/>
    </row>
    <row r="278" spans="2:5">
      <c r="B278" s="106"/>
      <c r="C278" s="106"/>
      <c r="D278" s="106"/>
      <c r="E278" s="106"/>
    </row>
    <row r="279" spans="2:5">
      <c r="B279" s="106"/>
      <c r="C279" s="106"/>
      <c r="D279" s="106"/>
      <c r="E279" s="106"/>
    </row>
    <row r="280" spans="2:5">
      <c r="B280" s="106"/>
      <c r="C280" s="106"/>
      <c r="D280" s="106"/>
      <c r="E280" s="106"/>
    </row>
    <row r="281" spans="2:5">
      <c r="B281" s="106"/>
      <c r="C281" s="106"/>
      <c r="D281" s="106"/>
      <c r="E281" s="106"/>
    </row>
    <row r="282" spans="2:5">
      <c r="B282" s="106"/>
      <c r="C282" s="106"/>
      <c r="D282" s="106"/>
      <c r="E282" s="106"/>
    </row>
    <row r="283" spans="2:5">
      <c r="B283" s="106"/>
      <c r="C283" s="106"/>
      <c r="D283" s="106"/>
      <c r="E283" s="106"/>
    </row>
    <row r="284" spans="2:5">
      <c r="B284" s="106"/>
      <c r="C284" s="106"/>
      <c r="D284" s="106"/>
      <c r="E284" s="106"/>
    </row>
    <row r="285" spans="2:5">
      <c r="B285" s="106"/>
      <c r="C285" s="106"/>
      <c r="D285" s="106"/>
      <c r="E285" s="106"/>
    </row>
    <row r="286" spans="2:5">
      <c r="B286" s="106"/>
      <c r="C286" s="106"/>
      <c r="D286" s="106"/>
      <c r="E286" s="106"/>
    </row>
    <row r="287" spans="2:5">
      <c r="B287" s="106"/>
      <c r="C287" s="106"/>
      <c r="D287" s="106"/>
      <c r="E287" s="106"/>
    </row>
    <row r="288" spans="2:5">
      <c r="B288" s="106"/>
      <c r="C288" s="106"/>
      <c r="D288" s="106"/>
      <c r="E288" s="106"/>
    </row>
    <row r="289" spans="2:5">
      <c r="B289" s="106"/>
      <c r="C289" s="106"/>
      <c r="D289" s="106"/>
      <c r="E289" s="106"/>
    </row>
    <row r="290" spans="2:5">
      <c r="B290" s="106"/>
      <c r="C290" s="106"/>
      <c r="D290" s="106"/>
      <c r="E290" s="106"/>
    </row>
    <row r="291" spans="2:5">
      <c r="B291" s="106"/>
      <c r="C291" s="106"/>
      <c r="D291" s="106"/>
      <c r="E291" s="106"/>
    </row>
    <row r="292" spans="2:5">
      <c r="B292" s="106"/>
      <c r="C292" s="106"/>
      <c r="D292" s="106"/>
      <c r="E292" s="106"/>
    </row>
    <row r="293" spans="2:5">
      <c r="B293" s="106"/>
      <c r="C293" s="106"/>
      <c r="D293" s="106"/>
      <c r="E293" s="106"/>
    </row>
    <row r="294" spans="2:5">
      <c r="B294" s="106"/>
      <c r="C294" s="106"/>
      <c r="D294" s="106"/>
      <c r="E294" s="106"/>
    </row>
    <row r="295" spans="2:5">
      <c r="B295" s="106"/>
      <c r="C295" s="106"/>
      <c r="D295" s="106"/>
      <c r="E295" s="106"/>
    </row>
    <row r="296" spans="2:5">
      <c r="B296" s="106"/>
      <c r="C296" s="106"/>
      <c r="D296" s="106"/>
      <c r="E296" s="106"/>
    </row>
    <row r="297" spans="2:5">
      <c r="B297" s="106"/>
      <c r="C297" s="106"/>
      <c r="D297" s="106"/>
      <c r="E297" s="106"/>
    </row>
    <row r="298" spans="2:5">
      <c r="B298" s="106"/>
      <c r="C298" s="106"/>
      <c r="D298" s="106"/>
      <c r="E298" s="106"/>
    </row>
    <row r="299" spans="2:5">
      <c r="B299" s="106"/>
      <c r="C299" s="106"/>
      <c r="D299" s="106"/>
      <c r="E299" s="106"/>
    </row>
    <row r="300" spans="2:5">
      <c r="B300" s="106"/>
      <c r="C300" s="106"/>
      <c r="D300" s="106"/>
      <c r="E300" s="106"/>
    </row>
    <row r="301" spans="2:5">
      <c r="B301" s="106"/>
      <c r="C301" s="106"/>
      <c r="D301" s="106"/>
      <c r="E301" s="106"/>
    </row>
    <row r="302" spans="2:5">
      <c r="B302" s="106"/>
      <c r="C302" s="106"/>
      <c r="D302" s="106"/>
      <c r="E302" s="106"/>
    </row>
    <row r="303" spans="2:5">
      <c r="B303" s="106"/>
      <c r="C303" s="106"/>
      <c r="D303" s="106"/>
      <c r="E303" s="106"/>
    </row>
    <row r="304" spans="2:5">
      <c r="B304" s="106"/>
      <c r="C304" s="106"/>
      <c r="D304" s="106"/>
      <c r="E304" s="106"/>
    </row>
    <row r="305" spans="2:5">
      <c r="B305" s="106"/>
      <c r="C305" s="106"/>
      <c r="D305" s="106"/>
      <c r="E305" s="106"/>
    </row>
    <row r="306" spans="2:5">
      <c r="B306" s="106"/>
      <c r="C306" s="106"/>
      <c r="D306" s="106"/>
      <c r="E306" s="106"/>
    </row>
    <row r="307" spans="2:5">
      <c r="B307" s="106"/>
      <c r="C307" s="106"/>
      <c r="D307" s="106"/>
      <c r="E307" s="106"/>
    </row>
    <row r="308" spans="2:5">
      <c r="B308" s="106"/>
      <c r="C308" s="106"/>
      <c r="D308" s="106"/>
      <c r="E308" s="106"/>
    </row>
    <row r="309" spans="2:5">
      <c r="B309" s="106"/>
      <c r="C309" s="106"/>
      <c r="D309" s="106"/>
      <c r="E309" s="106"/>
    </row>
    <row r="310" spans="2:5">
      <c r="B310" s="106"/>
      <c r="C310" s="106"/>
      <c r="D310" s="106"/>
      <c r="E310" s="106"/>
    </row>
    <row r="311" spans="2:5">
      <c r="B311" s="106"/>
      <c r="C311" s="106"/>
      <c r="D311" s="106"/>
      <c r="E311" s="106"/>
    </row>
    <row r="312" spans="2:5">
      <c r="B312" s="106"/>
      <c r="C312" s="106"/>
      <c r="D312" s="106"/>
      <c r="E312" s="106"/>
    </row>
    <row r="313" spans="2:5">
      <c r="B313" s="106"/>
      <c r="C313" s="106"/>
      <c r="D313" s="106"/>
      <c r="E313" s="106"/>
    </row>
    <row r="314" spans="2:5">
      <c r="B314" s="106"/>
      <c r="C314" s="106"/>
      <c r="D314" s="106"/>
      <c r="E314" s="106"/>
    </row>
    <row r="315" spans="2:5">
      <c r="B315" s="106"/>
      <c r="C315" s="106"/>
      <c r="D315" s="106"/>
      <c r="E315" s="106"/>
    </row>
  </sheetData>
  <sheetProtection sheet="1" objects="1" scenarios="1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H1028"/>
  <sheetViews>
    <sheetView topLeftCell="A18" zoomScale="150" zoomScaleNormal="100" workbookViewId="0">
      <selection activeCell="B30" sqref="B30"/>
    </sheetView>
  </sheetViews>
  <sheetFormatPr defaultColWidth="14.42578125" defaultRowHeight="15" customHeight="1"/>
  <cols>
    <col min="1" max="1" width="11.42578125" style="19" customWidth="1"/>
    <col min="2" max="2" width="39.7109375" style="19" bestFit="1" customWidth="1"/>
    <col min="3" max="3" width="5.85546875" style="19" customWidth="1"/>
    <col min="4" max="4" width="7.42578125" style="19" customWidth="1"/>
    <col min="5" max="5" width="5.85546875" style="19" customWidth="1"/>
    <col min="6" max="6" width="19.140625" style="19" customWidth="1"/>
    <col min="7" max="7" width="12.28515625" style="19" bestFit="1" customWidth="1"/>
    <col min="8" max="8" width="31.85546875" style="19" bestFit="1" customWidth="1"/>
    <col min="9" max="9" width="11.42578125" style="19" customWidth="1"/>
    <col min="10" max="10" width="13.42578125" style="19" bestFit="1" customWidth="1"/>
    <col min="11" max="26" width="11.42578125" style="19" customWidth="1"/>
    <col min="27" max="16384" width="14.42578125" style="19"/>
  </cols>
  <sheetData>
    <row r="1" spans="1:8" ht="15" customHeight="1">
      <c r="A1" s="108"/>
    </row>
    <row r="2" spans="1:8" ht="15" customHeight="1">
      <c r="A2" s="109"/>
      <c r="B2" s="222" t="str" cm="1">
        <f t="array" aca="1" ref="B2" ca="1">RIGHT(CELL("filename", A1), LEN(CELL("filename", A1)) - FIND("]", CELL("filename", A1)))</f>
        <v>General</v>
      </c>
      <c r="C2" s="223"/>
      <c r="D2" s="223"/>
      <c r="E2" s="224"/>
      <c r="F2" s="18">
        <f ca="1">VLOOKUP(B2,Master!B16:C38,2,FALSE)</f>
        <v>19</v>
      </c>
    </row>
    <row r="3" spans="1:8"/>
    <row r="4" spans="1:8">
      <c r="B4" s="20" t="s">
        <v>226</v>
      </c>
      <c r="C4" s="225">
        <v>0.67</v>
      </c>
      <c r="D4" s="226"/>
      <c r="E4" s="227"/>
      <c r="F4" s="17">
        <f ca="1">C4*F2</f>
        <v>12.73</v>
      </c>
      <c r="G4" s="15" t="s">
        <v>225</v>
      </c>
      <c r="H4" s="125"/>
    </row>
    <row r="5" spans="1:8">
      <c r="B5" s="126" t="s">
        <v>222</v>
      </c>
      <c r="C5" s="129" t="s">
        <v>228</v>
      </c>
      <c r="D5" s="129" t="s">
        <v>9</v>
      </c>
      <c r="E5" s="127" t="s">
        <v>2</v>
      </c>
      <c r="F5" s="21" t="s">
        <v>11</v>
      </c>
    </row>
    <row r="6" spans="1:8" ht="15" customHeight="1">
      <c r="B6" s="22" t="s">
        <v>242</v>
      </c>
      <c r="C6" s="128">
        <f t="shared" ref="C6:C27" ca="1" si="0">D6*$F$4/$D$31</f>
        <v>0.88813953488372088</v>
      </c>
      <c r="D6" s="32">
        <v>6</v>
      </c>
      <c r="E6" s="131">
        <v>4</v>
      </c>
      <c r="F6" s="25">
        <f t="shared" ref="F6:F30" ca="1" si="1">E6/4 * C6</f>
        <v>0.88813953488372088</v>
      </c>
    </row>
    <row r="7" spans="1:8" ht="15" customHeight="1">
      <c r="B7" s="22" t="s">
        <v>241</v>
      </c>
      <c r="C7" s="128">
        <f t="shared" ca="1" si="0"/>
        <v>0.29604651162790696</v>
      </c>
      <c r="D7" s="32">
        <v>2</v>
      </c>
      <c r="E7" s="131">
        <v>4</v>
      </c>
      <c r="F7" s="25">
        <f t="shared" ca="1" si="1"/>
        <v>0.29604651162790696</v>
      </c>
    </row>
    <row r="8" spans="1:8">
      <c r="B8" s="22" t="s">
        <v>243</v>
      </c>
      <c r="C8" s="23">
        <f t="shared" ca="1" si="0"/>
        <v>0.88813953488372088</v>
      </c>
      <c r="D8" s="24">
        <v>6</v>
      </c>
      <c r="E8" s="131">
        <v>4</v>
      </c>
      <c r="F8" s="25">
        <f t="shared" ca="1" si="1"/>
        <v>0.88813953488372088</v>
      </c>
    </row>
    <row r="9" spans="1:8">
      <c r="B9" s="22" t="s">
        <v>244</v>
      </c>
      <c r="C9" s="128">
        <f t="shared" ca="1" si="0"/>
        <v>0.29604651162790696</v>
      </c>
      <c r="D9" s="24">
        <v>2</v>
      </c>
      <c r="E9" s="131">
        <v>4</v>
      </c>
      <c r="F9" s="25">
        <f t="shared" ca="1" si="1"/>
        <v>0.29604651162790696</v>
      </c>
    </row>
    <row r="10" spans="1:8">
      <c r="B10" s="22" t="s">
        <v>238</v>
      </c>
      <c r="C10" s="23">
        <f t="shared" ca="1" si="0"/>
        <v>0.88813953488372088</v>
      </c>
      <c r="D10" s="24">
        <v>6</v>
      </c>
      <c r="E10" s="131">
        <v>4</v>
      </c>
      <c r="F10" s="25">
        <f t="shared" ca="1" si="1"/>
        <v>0.88813953488372088</v>
      </c>
    </row>
    <row r="11" spans="1:8">
      <c r="B11" s="22" t="s">
        <v>50</v>
      </c>
      <c r="C11" s="23">
        <f t="shared" ca="1" si="0"/>
        <v>0.88813953488372088</v>
      </c>
      <c r="D11" s="24">
        <v>6</v>
      </c>
      <c r="E11" s="131">
        <v>4</v>
      </c>
      <c r="F11" s="25">
        <f t="shared" ca="1" si="1"/>
        <v>0.88813953488372088</v>
      </c>
    </row>
    <row r="12" spans="1:8">
      <c r="B12" s="22" t="s">
        <v>51</v>
      </c>
      <c r="C12" s="23">
        <f t="shared" ca="1" si="0"/>
        <v>0.88813953488372088</v>
      </c>
      <c r="D12" s="24">
        <v>6</v>
      </c>
      <c r="E12" s="131">
        <v>4</v>
      </c>
      <c r="F12" s="25">
        <f t="shared" ca="1" si="1"/>
        <v>0.88813953488372088</v>
      </c>
    </row>
    <row r="13" spans="1:8">
      <c r="B13" s="22" t="s">
        <v>40</v>
      </c>
      <c r="C13" s="23">
        <f t="shared" ca="1" si="0"/>
        <v>0.88813953488372088</v>
      </c>
      <c r="D13" s="24">
        <v>6</v>
      </c>
      <c r="E13" s="131">
        <v>0</v>
      </c>
      <c r="F13" s="25">
        <f t="shared" ref="F13:F26" ca="1" si="2">E13/4 * C13</f>
        <v>0</v>
      </c>
    </row>
    <row r="14" spans="1:8">
      <c r="B14" s="172" t="s">
        <v>42</v>
      </c>
      <c r="C14" s="23">
        <f t="shared" ca="1" si="0"/>
        <v>0.14802325581395348</v>
      </c>
      <c r="D14" s="24">
        <v>1</v>
      </c>
      <c r="E14" s="131">
        <v>4</v>
      </c>
      <c r="F14" s="25">
        <f t="shared" ca="1" si="2"/>
        <v>0.14802325581395348</v>
      </c>
    </row>
    <row r="15" spans="1:8">
      <c r="B15" s="172" t="s">
        <v>227</v>
      </c>
      <c r="C15" s="23">
        <f t="shared" ca="1" si="0"/>
        <v>0.14802325581395348</v>
      </c>
      <c r="D15" s="24">
        <v>1</v>
      </c>
      <c r="E15" s="131">
        <v>0</v>
      </c>
      <c r="F15" s="25">
        <f t="shared" ca="1" si="2"/>
        <v>0</v>
      </c>
    </row>
    <row r="16" spans="1:8">
      <c r="B16" s="172" t="s">
        <v>239</v>
      </c>
      <c r="C16" s="23">
        <f t="shared" ca="1" si="0"/>
        <v>0.29604651162790696</v>
      </c>
      <c r="D16" s="24">
        <v>2</v>
      </c>
      <c r="E16" s="131">
        <v>4</v>
      </c>
      <c r="F16" s="25">
        <f t="shared" ca="1" si="2"/>
        <v>0.29604651162790696</v>
      </c>
    </row>
    <row r="17" spans="2:6">
      <c r="B17" s="22" t="s">
        <v>245</v>
      </c>
      <c r="C17" s="23">
        <f t="shared" ca="1" si="0"/>
        <v>0.14802325581395348</v>
      </c>
      <c r="D17" s="24">
        <v>1</v>
      </c>
      <c r="E17" s="131">
        <v>4</v>
      </c>
      <c r="F17" s="25">
        <f t="shared" ca="1" si="2"/>
        <v>0.14802325581395348</v>
      </c>
    </row>
    <row r="18" spans="2:6">
      <c r="B18" s="26" t="s">
        <v>246</v>
      </c>
      <c r="C18" s="23">
        <f t="shared" ca="1" si="0"/>
        <v>0.59209302325581392</v>
      </c>
      <c r="D18" s="27">
        <v>4</v>
      </c>
      <c r="E18" s="131">
        <v>4</v>
      </c>
      <c r="F18" s="25">
        <f t="shared" ca="1" si="2"/>
        <v>0.59209302325581392</v>
      </c>
    </row>
    <row r="19" spans="2:6">
      <c r="B19" s="173" t="s">
        <v>271</v>
      </c>
      <c r="C19" s="23">
        <f t="shared" ca="1" si="0"/>
        <v>0.29604651162790696</v>
      </c>
      <c r="D19" s="27">
        <v>2</v>
      </c>
      <c r="E19" s="131">
        <v>0</v>
      </c>
      <c r="F19" s="25">
        <f t="shared" ca="1" si="2"/>
        <v>0</v>
      </c>
    </row>
    <row r="20" spans="2:6">
      <c r="B20" s="22" t="s">
        <v>248</v>
      </c>
      <c r="C20" s="23">
        <f t="shared" ca="1" si="0"/>
        <v>0.29604651162790696</v>
      </c>
      <c r="D20" s="28">
        <v>2</v>
      </c>
      <c r="E20" s="131">
        <v>4</v>
      </c>
      <c r="F20" s="25">
        <f t="shared" ca="1" si="2"/>
        <v>0.29604651162790696</v>
      </c>
    </row>
    <row r="21" spans="2:6">
      <c r="B21" s="22" t="s">
        <v>247</v>
      </c>
      <c r="C21" s="23">
        <f t="shared" ca="1" si="0"/>
        <v>0.88813953488372088</v>
      </c>
      <c r="D21" s="132">
        <v>6</v>
      </c>
      <c r="E21" s="131">
        <v>4</v>
      </c>
      <c r="F21" s="25">
        <f t="shared" ca="1" si="2"/>
        <v>0.88813953488372088</v>
      </c>
    </row>
    <row r="22" spans="2:6">
      <c r="B22" s="29" t="s">
        <v>54</v>
      </c>
      <c r="C22" s="23">
        <f t="shared" ca="1" si="0"/>
        <v>0.29604651162790696</v>
      </c>
      <c r="D22" s="30">
        <v>2</v>
      </c>
      <c r="E22" s="131">
        <v>2</v>
      </c>
      <c r="F22" s="25">
        <f t="shared" ca="1" si="2"/>
        <v>0.14802325581395348</v>
      </c>
    </row>
    <row r="23" spans="2:6">
      <c r="B23" s="29" t="s">
        <v>249</v>
      </c>
      <c r="C23" s="23">
        <f t="shared" ca="1" si="0"/>
        <v>0.88813953488372088</v>
      </c>
      <c r="D23" s="30">
        <v>6</v>
      </c>
      <c r="E23" s="131">
        <v>4</v>
      </c>
      <c r="F23" s="25">
        <f t="shared" ca="1" si="2"/>
        <v>0.88813953488372088</v>
      </c>
    </row>
    <row r="24" spans="2:6">
      <c r="B24" s="29" t="s">
        <v>53</v>
      </c>
      <c r="C24" s="23">
        <f t="shared" ca="1" si="0"/>
        <v>0.29604651162790696</v>
      </c>
      <c r="D24" s="30">
        <v>2</v>
      </c>
      <c r="E24" s="131">
        <v>4</v>
      </c>
      <c r="F24" s="25">
        <f t="shared" ca="1" si="2"/>
        <v>0.29604651162790696</v>
      </c>
    </row>
    <row r="25" spans="2:6">
      <c r="B25" s="31" t="s">
        <v>56</v>
      </c>
      <c r="C25" s="23">
        <f t="shared" ca="1" si="0"/>
        <v>0.59209302325581392</v>
      </c>
      <c r="D25" s="32">
        <v>4</v>
      </c>
      <c r="E25" s="131">
        <v>0</v>
      </c>
      <c r="F25" s="25">
        <f t="shared" ca="1" si="2"/>
        <v>0</v>
      </c>
    </row>
    <row r="26" spans="2:6">
      <c r="B26" s="31" t="s">
        <v>52</v>
      </c>
      <c r="C26" s="23">
        <f t="shared" ca="1" si="0"/>
        <v>0.44406976744186044</v>
      </c>
      <c r="D26" s="32">
        <v>3</v>
      </c>
      <c r="E26" s="131">
        <v>0</v>
      </c>
      <c r="F26" s="25">
        <f t="shared" ca="1" si="2"/>
        <v>0</v>
      </c>
    </row>
    <row r="27" spans="2:6">
      <c r="B27" s="22" t="s">
        <v>41</v>
      </c>
      <c r="C27" s="23">
        <f t="shared" ca="1" si="0"/>
        <v>0.59209302325581392</v>
      </c>
      <c r="D27" s="24">
        <v>4</v>
      </c>
      <c r="E27" s="131">
        <v>0</v>
      </c>
      <c r="F27" s="25">
        <f t="shared" ca="1" si="1"/>
        <v>0</v>
      </c>
    </row>
    <row r="28" spans="2:6">
      <c r="B28" s="22" t="s">
        <v>396</v>
      </c>
      <c r="C28" s="23">
        <f t="shared" ref="C28:C29" ca="1" si="3">D28*$F$4/$D$31</f>
        <v>0.29604651162790696</v>
      </c>
      <c r="D28" s="24">
        <v>2</v>
      </c>
      <c r="E28" s="131">
        <v>4</v>
      </c>
      <c r="F28" s="25">
        <f t="shared" ca="1" si="1"/>
        <v>0.29604651162790696</v>
      </c>
    </row>
    <row r="29" spans="2:6">
      <c r="B29" s="22" t="s">
        <v>401</v>
      </c>
      <c r="C29" s="23">
        <f t="shared" ca="1" si="3"/>
        <v>0.29604651162790696</v>
      </c>
      <c r="D29" s="24">
        <v>2</v>
      </c>
      <c r="E29" s="131">
        <v>4</v>
      </c>
      <c r="F29" s="25">
        <f t="shared" ca="1" si="1"/>
        <v>0.29604651162790696</v>
      </c>
    </row>
    <row r="30" spans="2:6">
      <c r="B30" s="22" t="s">
        <v>58</v>
      </c>
      <c r="C30" s="23">
        <f ca="1">D30*$F$4/$D$31</f>
        <v>0.29604651162790696</v>
      </c>
      <c r="D30" s="24">
        <v>2</v>
      </c>
      <c r="E30" s="131">
        <v>0</v>
      </c>
      <c r="F30" s="25">
        <f t="shared" ca="1" si="1"/>
        <v>0</v>
      </c>
    </row>
    <row r="31" spans="2:6" ht="15.75" thickBot="1">
      <c r="B31" s="33" t="s">
        <v>33</v>
      </c>
      <c r="C31" s="34">
        <f ca="1">SUM(C6:C30)</f>
        <v>12.729999999999995</v>
      </c>
      <c r="D31" s="34">
        <f>SUM(D6:D30)</f>
        <v>86</v>
      </c>
      <c r="E31" s="35"/>
      <c r="F31" s="34">
        <f ca="1">SUM(F6:F30)</f>
        <v>9.3254651162790694</v>
      </c>
    </row>
    <row r="32" spans="2:6" ht="15.75" thickTop="1"/>
    <row r="33" spans="2:6">
      <c r="B33" s="20" t="s">
        <v>223</v>
      </c>
      <c r="C33" s="216">
        <v>0.08</v>
      </c>
      <c r="D33" s="228"/>
      <c r="E33" s="227"/>
      <c r="F33" s="17">
        <f ca="1">C33*F2</f>
        <v>1.52</v>
      </c>
    </row>
    <row r="34" spans="2:6">
      <c r="B34" s="60" t="s">
        <v>222</v>
      </c>
      <c r="C34" s="21" t="s">
        <v>228</v>
      </c>
      <c r="D34" s="21" t="s">
        <v>9</v>
      </c>
      <c r="E34" s="21" t="s">
        <v>2</v>
      </c>
      <c r="F34" s="21" t="s">
        <v>11</v>
      </c>
    </row>
    <row r="35" spans="2:6">
      <c r="B35" s="133" t="s">
        <v>240</v>
      </c>
      <c r="C35" s="130">
        <f t="shared" ref="C35:C44" ca="1" si="4">D35*$F$33/$D$45</f>
        <v>0.152</v>
      </c>
      <c r="D35" s="24">
        <v>1</v>
      </c>
      <c r="E35" s="131">
        <v>4</v>
      </c>
      <c r="F35" s="25">
        <f t="shared" ref="F35:F44" ca="1" si="5">E35/4 * C35</f>
        <v>0.152</v>
      </c>
    </row>
    <row r="36" spans="2:6">
      <c r="B36" s="31" t="s">
        <v>396</v>
      </c>
      <c r="C36" s="23">
        <f t="shared" ca="1" si="4"/>
        <v>0.152</v>
      </c>
      <c r="D36" s="24">
        <v>1</v>
      </c>
      <c r="E36" s="131">
        <v>4</v>
      </c>
      <c r="F36" s="25">
        <f t="shared" ref="F36" ca="1" si="6">E36/4 * C36</f>
        <v>0.152</v>
      </c>
    </row>
    <row r="37" spans="2:6">
      <c r="B37" s="31" t="s">
        <v>43</v>
      </c>
      <c r="C37" s="23">
        <f t="shared" ca="1" si="4"/>
        <v>0.152</v>
      </c>
      <c r="D37" s="24">
        <v>1</v>
      </c>
      <c r="E37" s="131">
        <v>4</v>
      </c>
      <c r="F37" s="25">
        <f t="shared" ca="1" si="5"/>
        <v>0.152</v>
      </c>
    </row>
    <row r="38" spans="2:6">
      <c r="B38" s="22" t="s">
        <v>44</v>
      </c>
      <c r="C38" s="23">
        <f t="shared" ca="1" si="4"/>
        <v>0.152</v>
      </c>
      <c r="D38" s="24">
        <v>1</v>
      </c>
      <c r="E38" s="131">
        <v>4</v>
      </c>
      <c r="F38" s="25">
        <f t="shared" ca="1" si="5"/>
        <v>0.152</v>
      </c>
    </row>
    <row r="39" spans="2:6">
      <c r="B39" s="22" t="s">
        <v>45</v>
      </c>
      <c r="C39" s="23">
        <f t="shared" ca="1" si="4"/>
        <v>0.152</v>
      </c>
      <c r="D39" s="24">
        <v>1</v>
      </c>
      <c r="E39" s="131">
        <v>2</v>
      </c>
      <c r="F39" s="25">
        <f t="shared" ca="1" si="5"/>
        <v>7.5999999999999998E-2</v>
      </c>
    </row>
    <row r="40" spans="2:6">
      <c r="B40" s="22" t="s">
        <v>46</v>
      </c>
      <c r="C40" s="23">
        <f t="shared" ca="1" si="4"/>
        <v>0.152</v>
      </c>
      <c r="D40" s="24">
        <v>1</v>
      </c>
      <c r="E40" s="131">
        <v>4</v>
      </c>
      <c r="F40" s="25">
        <f t="shared" ca="1" si="5"/>
        <v>0.152</v>
      </c>
    </row>
    <row r="41" spans="2:6">
      <c r="B41" s="22" t="s">
        <v>47</v>
      </c>
      <c r="C41" s="23">
        <f t="shared" ca="1" si="4"/>
        <v>0.152</v>
      </c>
      <c r="D41" s="24">
        <v>1</v>
      </c>
      <c r="E41" s="131">
        <v>4</v>
      </c>
      <c r="F41" s="25">
        <f t="shared" ca="1" si="5"/>
        <v>0.152</v>
      </c>
    </row>
    <row r="42" spans="2:6">
      <c r="B42" s="22" t="s">
        <v>397</v>
      </c>
      <c r="C42" s="23">
        <f t="shared" ca="1" si="4"/>
        <v>0.152</v>
      </c>
      <c r="D42" s="24">
        <v>1</v>
      </c>
      <c r="E42" s="131">
        <v>4</v>
      </c>
      <c r="F42" s="25">
        <f t="shared" ref="F42" ca="1" si="7">E42/4 * C42</f>
        <v>0.152</v>
      </c>
    </row>
    <row r="43" spans="2:6">
      <c r="B43" s="22" t="s">
        <v>48</v>
      </c>
      <c r="C43" s="23">
        <f t="shared" ca="1" si="4"/>
        <v>0.152</v>
      </c>
      <c r="D43" s="24">
        <v>1</v>
      </c>
      <c r="E43" s="131">
        <v>4</v>
      </c>
      <c r="F43" s="25">
        <f t="shared" ca="1" si="5"/>
        <v>0.152</v>
      </c>
    </row>
    <row r="44" spans="2:6">
      <c r="B44" s="22" t="s">
        <v>49</v>
      </c>
      <c r="C44" s="23">
        <f t="shared" ca="1" si="4"/>
        <v>0.152</v>
      </c>
      <c r="D44" s="24">
        <v>1</v>
      </c>
      <c r="E44" s="131">
        <v>2</v>
      </c>
      <c r="F44" s="25">
        <f t="shared" ca="1" si="5"/>
        <v>7.5999999999999998E-2</v>
      </c>
    </row>
    <row r="45" spans="2:6" ht="15.75" thickBot="1">
      <c r="B45" s="33" t="s">
        <v>33</v>
      </c>
      <c r="C45" s="34">
        <f ca="1">SUM(C35:C44)</f>
        <v>1.5199999999999998</v>
      </c>
      <c r="D45" s="34">
        <f>SUM(D35:D44)</f>
        <v>10</v>
      </c>
      <c r="E45" s="35"/>
      <c r="F45" s="34">
        <f ca="1">SUM(F35:F44)</f>
        <v>1.3679999999999999</v>
      </c>
    </row>
    <row r="46" spans="2:6" ht="15.75" thickTop="1"/>
    <row r="47" spans="2:6">
      <c r="B47" s="20" t="s">
        <v>224</v>
      </c>
      <c r="C47" s="216">
        <v>0.25</v>
      </c>
      <c r="D47" s="217"/>
      <c r="E47" s="218"/>
      <c r="F47" s="17">
        <f ca="1">C47*F2</f>
        <v>4.75</v>
      </c>
    </row>
    <row r="48" spans="2:6">
      <c r="B48" s="21" t="s">
        <v>222</v>
      </c>
      <c r="C48" s="21" t="s">
        <v>228</v>
      </c>
      <c r="D48" s="21" t="s">
        <v>9</v>
      </c>
      <c r="E48" s="21" t="s">
        <v>2</v>
      </c>
      <c r="F48" s="21" t="s">
        <v>11</v>
      </c>
    </row>
    <row r="49" spans="2:6">
      <c r="B49" s="22" t="s">
        <v>274</v>
      </c>
      <c r="C49" s="23">
        <f t="shared" ref="C49:C55" ca="1" si="8">D49*$F$47/$D$56</f>
        <v>0.76</v>
      </c>
      <c r="D49" s="24">
        <v>20</v>
      </c>
      <c r="E49" s="131">
        <v>4</v>
      </c>
      <c r="F49" s="25">
        <f t="shared" ref="F49:F55" ca="1" si="9">E49/4 * C49</f>
        <v>0.76</v>
      </c>
    </row>
    <row r="50" spans="2:6">
      <c r="B50" s="22" t="s">
        <v>402</v>
      </c>
      <c r="C50" s="23">
        <f t="shared" ca="1" si="8"/>
        <v>1.52</v>
      </c>
      <c r="D50" s="24">
        <v>40</v>
      </c>
      <c r="E50" s="131">
        <v>4</v>
      </c>
      <c r="F50" s="25">
        <f t="shared" ca="1" si="9"/>
        <v>1.52</v>
      </c>
    </row>
    <row r="51" spans="2:6">
      <c r="B51" s="22" t="s">
        <v>57</v>
      </c>
      <c r="C51" s="23">
        <f t="shared" ca="1" si="8"/>
        <v>1.1399999999999999</v>
      </c>
      <c r="D51" s="24">
        <v>30</v>
      </c>
      <c r="E51" s="131">
        <v>4</v>
      </c>
      <c r="F51" s="25">
        <f t="shared" ca="1" si="9"/>
        <v>1.1399999999999999</v>
      </c>
    </row>
    <row r="52" spans="2:6">
      <c r="B52" s="22" t="s">
        <v>59</v>
      </c>
      <c r="C52" s="23">
        <f t="shared" ca="1" si="8"/>
        <v>7.5999999999999998E-2</v>
      </c>
      <c r="D52" s="24">
        <v>2</v>
      </c>
      <c r="E52" s="131">
        <v>4</v>
      </c>
      <c r="F52" s="25">
        <f t="shared" ca="1" si="9"/>
        <v>7.5999999999999998E-2</v>
      </c>
    </row>
    <row r="53" spans="2:6">
      <c r="B53" s="172" t="s">
        <v>272</v>
      </c>
      <c r="C53" s="23">
        <f t="shared" ca="1" si="8"/>
        <v>0.38</v>
      </c>
      <c r="D53" s="24">
        <v>10</v>
      </c>
      <c r="E53" s="131">
        <v>2</v>
      </c>
      <c r="F53" s="25">
        <f t="shared" ca="1" si="9"/>
        <v>0.19</v>
      </c>
    </row>
    <row r="54" spans="2:6" ht="15.75" customHeight="1">
      <c r="B54" s="22" t="s">
        <v>55</v>
      </c>
      <c r="C54" s="23">
        <f t="shared" ca="1" si="8"/>
        <v>0.76</v>
      </c>
      <c r="D54" s="24">
        <v>20</v>
      </c>
      <c r="E54" s="131">
        <v>2</v>
      </c>
      <c r="F54" s="25">
        <f t="shared" ca="1" si="9"/>
        <v>0.38</v>
      </c>
    </row>
    <row r="55" spans="2:6" ht="15.75" customHeight="1">
      <c r="B55" s="22" t="s">
        <v>273</v>
      </c>
      <c r="C55" s="23">
        <f t="shared" ca="1" si="8"/>
        <v>0.114</v>
      </c>
      <c r="D55" s="24">
        <v>3</v>
      </c>
      <c r="E55" s="131">
        <v>4</v>
      </c>
      <c r="F55" s="25">
        <f t="shared" ca="1" si="9"/>
        <v>0.114</v>
      </c>
    </row>
    <row r="56" spans="2:6" ht="15.75" customHeight="1" thickBot="1">
      <c r="B56" s="33" t="s">
        <v>33</v>
      </c>
      <c r="C56" s="34">
        <f ca="1">SUM(C49:C55)</f>
        <v>4.75</v>
      </c>
      <c r="D56" s="34">
        <f>SUM(D49:D55)</f>
        <v>125</v>
      </c>
      <c r="E56" s="35"/>
      <c r="F56" s="34">
        <f ca="1">SUM(F49:F55)</f>
        <v>4.18</v>
      </c>
    </row>
    <row r="57" spans="2:6" ht="15.75" customHeight="1" thickTop="1"/>
    <row r="58" spans="2:6" ht="15.75" customHeight="1" thickBot="1">
      <c r="B58" s="219" t="s">
        <v>219</v>
      </c>
      <c r="C58" s="220"/>
      <c r="D58" s="220"/>
      <c r="E58" s="221"/>
      <c r="F58" s="107">
        <f ca="1">SUM(F31,F45,F56)</f>
        <v>14.873465116279069</v>
      </c>
    </row>
    <row r="59" spans="2:6" ht="15.75" customHeight="1" thickTop="1"/>
    <row r="60" spans="2:6" ht="15.75" customHeight="1"/>
    <row r="61" spans="2:6" ht="15.75" customHeight="1"/>
    <row r="62" spans="2:6" ht="15.75" customHeight="1"/>
    <row r="63" spans="2:6" ht="15.75" customHeight="1"/>
    <row r="64" spans="2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mergeCells count="5">
    <mergeCell ref="C47:E47"/>
    <mergeCell ref="B58:E58"/>
    <mergeCell ref="B2:E2"/>
    <mergeCell ref="C4:E4"/>
    <mergeCell ref="C33:E33"/>
  </mergeCells>
  <dataValidations count="1">
    <dataValidation type="decimal" allowBlank="1" showErrorMessage="1" sqref="E35:E44 E49:E55 E6:E30" xr:uid="{00000000-0002-0000-0100-000000000000}">
      <formula1>0</formula1>
      <formula2>4</formula2>
    </dataValidation>
  </dataValidations>
  <pageMargins left="0.7" right="0.7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B2:R1029"/>
  <sheetViews>
    <sheetView topLeftCell="A7" zoomScale="125" zoomScaleNormal="115" workbookViewId="0">
      <selection activeCell="B14" sqref="B14"/>
    </sheetView>
  </sheetViews>
  <sheetFormatPr defaultColWidth="14.42578125" defaultRowHeight="15" customHeight="1"/>
  <cols>
    <col min="1" max="1" width="11.42578125" style="19" customWidth="1"/>
    <col min="2" max="2" width="52.85546875" style="19" bestFit="1" customWidth="1"/>
    <col min="3" max="3" width="5.85546875" style="19" customWidth="1"/>
    <col min="4" max="4" width="7.42578125" style="19" customWidth="1"/>
    <col min="5" max="5" width="5.85546875" style="19" customWidth="1"/>
    <col min="6" max="6" width="19.140625" style="19" customWidth="1"/>
    <col min="7" max="7" width="2.85546875" style="19" customWidth="1"/>
    <col min="8" max="8" width="11.7109375" style="19" bestFit="1" customWidth="1"/>
    <col min="9" max="9" width="11.140625" style="19" bestFit="1" customWidth="1"/>
    <col min="10" max="10" width="11.42578125" style="19" customWidth="1"/>
    <col min="11" max="11" width="43" style="19" bestFit="1" customWidth="1"/>
    <col min="12" max="12" width="5.85546875" style="19" customWidth="1"/>
    <col min="13" max="13" width="7.42578125" style="19" customWidth="1"/>
    <col min="14" max="14" width="5.85546875" style="19" customWidth="1"/>
    <col min="15" max="15" width="14" style="19" bestFit="1" customWidth="1"/>
    <col min="16" max="16" width="2.85546875" style="19" customWidth="1"/>
    <col min="17" max="17" width="11.7109375" style="19" bestFit="1" customWidth="1"/>
    <col min="18" max="18" width="11.140625" style="19" bestFit="1" customWidth="1"/>
    <col min="19" max="22" width="11.42578125" style="19" customWidth="1"/>
    <col min="23" max="16384" width="14.42578125" style="19"/>
  </cols>
  <sheetData>
    <row r="2" spans="2:18">
      <c r="B2" s="229" t="str" cm="1">
        <f t="array" aca="1" ref="B2" ca="1">RIGHT(CELL("filename", A1), LEN(CELL("filename", A1)) - FIND("]", CELL("filename", A1)))</f>
        <v>Components</v>
      </c>
      <c r="C2" s="230"/>
      <c r="D2" s="230"/>
      <c r="E2" s="231"/>
      <c r="F2" s="97">
        <f ca="1">VLOOKUP(B2,Master!B16:C38,2,FALSE)</f>
        <v>12</v>
      </c>
    </row>
    <row r="3" spans="2:18">
      <c r="B3" s="109"/>
      <c r="C3" s="109"/>
      <c r="D3" s="109"/>
      <c r="E3" s="109"/>
      <c r="F3" s="109"/>
    </row>
    <row r="4" spans="2:18">
      <c r="B4" s="43"/>
      <c r="C4" s="36"/>
      <c r="D4" s="36"/>
      <c r="E4" s="36"/>
      <c r="H4" s="109"/>
    </row>
    <row r="5" spans="2:18">
      <c r="B5" s="16" t="s">
        <v>60</v>
      </c>
      <c r="C5" s="239">
        <v>0.75</v>
      </c>
      <c r="D5" s="217"/>
      <c r="E5" s="218"/>
      <c r="F5" s="17">
        <f ca="1">C5*F2</f>
        <v>9</v>
      </c>
      <c r="K5" s="16" t="s">
        <v>302</v>
      </c>
      <c r="L5" s="216">
        <v>0.25</v>
      </c>
      <c r="M5" s="228"/>
      <c r="N5" s="227"/>
      <c r="O5" s="17">
        <f ca="1">L5*F2</f>
        <v>3</v>
      </c>
    </row>
    <row r="6" spans="2:18"/>
    <row r="7" spans="2:18">
      <c r="B7" s="113" t="s">
        <v>80</v>
      </c>
      <c r="C7" s="232">
        <f>Master!$D$11</f>
        <v>0.9</v>
      </c>
      <c r="D7" s="233"/>
      <c r="E7" s="234"/>
      <c r="F7" s="114">
        <f ca="1">C7*F5</f>
        <v>8.1</v>
      </c>
      <c r="K7" s="113" t="s">
        <v>80</v>
      </c>
      <c r="L7" s="232">
        <f>Master!$D$11</f>
        <v>0.9</v>
      </c>
      <c r="M7" s="233"/>
      <c r="N7" s="234"/>
      <c r="O7" s="114">
        <f ca="1">L7*O5</f>
        <v>2.7</v>
      </c>
    </row>
    <row r="8" spans="2:18">
      <c r="B8" s="60" t="s">
        <v>222</v>
      </c>
      <c r="C8" s="60" t="s">
        <v>228</v>
      </c>
      <c r="D8" s="60" t="s">
        <v>9</v>
      </c>
      <c r="E8" s="116" t="s">
        <v>2</v>
      </c>
      <c r="F8" s="117" t="s">
        <v>11</v>
      </c>
      <c r="K8" s="21" t="s">
        <v>222</v>
      </c>
      <c r="L8" s="21" t="s">
        <v>228</v>
      </c>
      <c r="M8" s="21" t="s">
        <v>9</v>
      </c>
      <c r="N8" s="21" t="s">
        <v>2</v>
      </c>
      <c r="O8" s="60" t="s">
        <v>11</v>
      </c>
      <c r="Q8" s="134" t="s">
        <v>322</v>
      </c>
      <c r="R8" s="134" t="s">
        <v>96</v>
      </c>
    </row>
    <row r="9" spans="2:18">
      <c r="B9" s="240" t="s">
        <v>303</v>
      </c>
      <c r="C9" s="241"/>
      <c r="D9" s="241"/>
      <c r="E9" s="242"/>
      <c r="F9" s="151"/>
      <c r="H9" s="134" t="s">
        <v>322</v>
      </c>
      <c r="I9" s="134" t="s">
        <v>96</v>
      </c>
      <c r="K9" s="118" t="s">
        <v>285</v>
      </c>
      <c r="L9" s="23">
        <f t="shared" ref="L9:L28" ca="1" si="0">M9/$M$29*$O$7</f>
        <v>8.4375000000000006E-2</v>
      </c>
      <c r="M9" s="119">
        <v>2</v>
      </c>
      <c r="N9" s="54">
        <f>Q9*4/R9</f>
        <v>1.6666666666666667</v>
      </c>
      <c r="O9" s="120">
        <f t="shared" ref="O9:O28" ca="1" si="1">N9/4 * L9</f>
        <v>3.5156250000000007E-2</v>
      </c>
      <c r="Q9" s="144">
        <v>5</v>
      </c>
      <c r="R9" s="25">
        <v>12</v>
      </c>
    </row>
    <row r="10" spans="2:18">
      <c r="B10" s="29" t="s">
        <v>314</v>
      </c>
      <c r="C10" s="23">
        <f t="shared" ref="C10:C21" ca="1" si="2">D10/$D$42*$F$7</f>
        <v>0.26557377049180331</v>
      </c>
      <c r="D10" s="30">
        <v>2</v>
      </c>
      <c r="E10" s="154">
        <f>H10*4/I10</f>
        <v>4</v>
      </c>
      <c r="F10" s="23">
        <f t="shared" ref="F10:F21" ca="1" si="3">E10/4 * C10</f>
        <v>0.26557377049180331</v>
      </c>
      <c r="H10" s="144">
        <v>2</v>
      </c>
      <c r="I10" s="25">
        <v>2</v>
      </c>
      <c r="K10" s="118" t="s">
        <v>62</v>
      </c>
      <c r="L10" s="23">
        <f t="shared" ca="1" si="0"/>
        <v>8.4375000000000006E-2</v>
      </c>
      <c r="M10" s="119">
        <v>2</v>
      </c>
      <c r="N10" s="54">
        <f>Q10*4/R10</f>
        <v>1.2</v>
      </c>
      <c r="O10" s="120">
        <f t="shared" ca="1" si="1"/>
        <v>2.5312500000000002E-2</v>
      </c>
      <c r="Q10" s="144">
        <f>1+0+1+1+0</f>
        <v>3</v>
      </c>
      <c r="R10" s="25">
        <v>10</v>
      </c>
    </row>
    <row r="11" spans="2:18">
      <c r="B11" s="29" t="s">
        <v>317</v>
      </c>
      <c r="C11" s="23">
        <f t="shared" ca="1" si="2"/>
        <v>0.26557377049180331</v>
      </c>
      <c r="D11" s="156">
        <v>2</v>
      </c>
      <c r="E11" s="53">
        <v>4</v>
      </c>
      <c r="F11" s="23">
        <f t="shared" ca="1" si="3"/>
        <v>0.26557377049180331</v>
      </c>
      <c r="K11" s="118" t="s">
        <v>284</v>
      </c>
      <c r="L11" s="23">
        <f t="shared" ca="1" si="0"/>
        <v>4.2187500000000003E-2</v>
      </c>
      <c r="M11" s="119">
        <v>1</v>
      </c>
      <c r="N11" s="53">
        <v>4</v>
      </c>
      <c r="O11" s="120">
        <f t="shared" ca="1" si="1"/>
        <v>4.2187500000000003E-2</v>
      </c>
    </row>
    <row r="12" spans="2:18">
      <c r="B12" s="29" t="s">
        <v>286</v>
      </c>
      <c r="C12" s="23">
        <f t="shared" ca="1" si="2"/>
        <v>0.13278688524590165</v>
      </c>
      <c r="D12" s="30">
        <v>1</v>
      </c>
      <c r="E12" s="53">
        <v>4</v>
      </c>
      <c r="F12" s="23">
        <f t="shared" ca="1" si="3"/>
        <v>0.13278688524590165</v>
      </c>
      <c r="K12" s="118" t="s">
        <v>63</v>
      </c>
      <c r="L12" s="23">
        <f t="shared" ca="1" si="0"/>
        <v>4.2187500000000003E-2</v>
      </c>
      <c r="M12" s="119">
        <v>1</v>
      </c>
      <c r="N12" s="53">
        <v>4</v>
      </c>
      <c r="O12" s="120">
        <f t="shared" ca="1" si="1"/>
        <v>4.2187500000000003E-2</v>
      </c>
    </row>
    <row r="13" spans="2:18">
      <c r="B13" s="29" t="s">
        <v>287</v>
      </c>
      <c r="C13" s="23">
        <f t="shared" ca="1" si="2"/>
        <v>0.13278688524590165</v>
      </c>
      <c r="D13" s="30">
        <v>1</v>
      </c>
      <c r="E13" s="53">
        <v>0</v>
      </c>
      <c r="F13" s="23">
        <f t="shared" ca="1" si="3"/>
        <v>0</v>
      </c>
      <c r="K13" s="118" t="s">
        <v>64</v>
      </c>
      <c r="L13" s="23">
        <f t="shared" ca="1" si="0"/>
        <v>8.4375000000000006E-2</v>
      </c>
      <c r="M13" s="119">
        <v>2</v>
      </c>
      <c r="N13" s="53">
        <v>4</v>
      </c>
      <c r="O13" s="120">
        <f t="shared" ca="1" si="1"/>
        <v>8.4375000000000006E-2</v>
      </c>
    </row>
    <row r="14" spans="2:18">
      <c r="B14" s="29" t="s">
        <v>288</v>
      </c>
      <c r="C14" s="23">
        <f t="shared" ca="1" si="2"/>
        <v>0.26557377049180331</v>
      </c>
      <c r="D14" s="30">
        <v>2</v>
      </c>
      <c r="E14" s="53">
        <v>0</v>
      </c>
      <c r="F14" s="23">
        <f t="shared" ca="1" si="3"/>
        <v>0</v>
      </c>
      <c r="K14" s="118" t="s">
        <v>65</v>
      </c>
      <c r="L14" s="23">
        <f t="shared" ca="1" si="0"/>
        <v>0.2109375</v>
      </c>
      <c r="M14" s="119">
        <v>5</v>
      </c>
      <c r="N14" s="53">
        <v>4</v>
      </c>
      <c r="O14" s="120">
        <f t="shared" ca="1" si="1"/>
        <v>0.2109375</v>
      </c>
    </row>
    <row r="15" spans="2:18">
      <c r="B15" s="29" t="s">
        <v>292</v>
      </c>
      <c r="C15" s="23">
        <f t="shared" ca="1" si="2"/>
        <v>0.26557377049180331</v>
      </c>
      <c r="D15" s="30">
        <v>2</v>
      </c>
      <c r="E15" s="53">
        <v>4</v>
      </c>
      <c r="F15" s="23">
        <f t="shared" ca="1" si="3"/>
        <v>0.26557377049180331</v>
      </c>
      <c r="K15" s="118" t="s">
        <v>250</v>
      </c>
      <c r="L15" s="23">
        <f t="shared" ca="1" si="0"/>
        <v>8.4375000000000006E-2</v>
      </c>
      <c r="M15" s="119">
        <v>2</v>
      </c>
      <c r="N15" s="53">
        <v>3</v>
      </c>
      <c r="O15" s="120">
        <f t="shared" ca="1" si="1"/>
        <v>6.3281250000000011E-2</v>
      </c>
    </row>
    <row r="16" spans="2:18">
      <c r="B16" s="29" t="s">
        <v>291</v>
      </c>
      <c r="C16" s="23">
        <f t="shared" ca="1" si="2"/>
        <v>0.13278688524590165</v>
      </c>
      <c r="D16" s="30">
        <v>1</v>
      </c>
      <c r="E16" s="53">
        <v>4</v>
      </c>
      <c r="F16" s="23">
        <f t="shared" ca="1" si="3"/>
        <v>0.13278688524590165</v>
      </c>
      <c r="K16" s="118" t="s">
        <v>319</v>
      </c>
      <c r="L16" s="23">
        <f t="shared" ca="1" si="0"/>
        <v>0.33750000000000002</v>
      </c>
      <c r="M16" s="174">
        <v>8</v>
      </c>
      <c r="N16" s="53">
        <v>0</v>
      </c>
      <c r="O16" s="120">
        <f t="shared" ca="1" si="1"/>
        <v>0</v>
      </c>
    </row>
    <row r="17" spans="2:18">
      <c r="B17" s="29" t="s">
        <v>289</v>
      </c>
      <c r="C17" s="23">
        <f t="shared" ca="1" si="2"/>
        <v>0.53114754098360661</v>
      </c>
      <c r="D17" s="30">
        <v>4</v>
      </c>
      <c r="E17" s="53">
        <v>2</v>
      </c>
      <c r="F17" s="23">
        <f t="shared" ca="1" si="3"/>
        <v>0.26557377049180331</v>
      </c>
      <c r="K17" s="118" t="s">
        <v>66</v>
      </c>
      <c r="L17" s="23">
        <f t="shared" ca="1" si="0"/>
        <v>0.12656250000000002</v>
      </c>
      <c r="M17" s="174">
        <v>3</v>
      </c>
      <c r="N17" s="53">
        <v>0</v>
      </c>
      <c r="O17" s="120">
        <f t="shared" ca="1" si="1"/>
        <v>0</v>
      </c>
    </row>
    <row r="18" spans="2:18">
      <c r="B18" s="29" t="s">
        <v>312</v>
      </c>
      <c r="C18" s="23">
        <f t="shared" ca="1" si="2"/>
        <v>0.39836065573770491</v>
      </c>
      <c r="D18" s="30">
        <v>3</v>
      </c>
      <c r="E18" s="53">
        <v>4</v>
      </c>
      <c r="F18" s="23">
        <f t="shared" ca="1" si="3"/>
        <v>0.39836065573770491</v>
      </c>
      <c r="K18" s="118" t="s">
        <v>67</v>
      </c>
      <c r="L18" s="23">
        <f t="shared" ca="1" si="0"/>
        <v>0.12656250000000002</v>
      </c>
      <c r="M18" s="174">
        <v>3</v>
      </c>
      <c r="N18" s="53">
        <v>0</v>
      </c>
      <c r="O18" s="120">
        <f t="shared" ca="1" si="1"/>
        <v>0</v>
      </c>
    </row>
    <row r="19" spans="2:18" ht="15.75" customHeight="1">
      <c r="B19" s="153" t="s">
        <v>310</v>
      </c>
      <c r="C19" s="23">
        <f t="shared" ca="1" si="2"/>
        <v>0.39836065573770491</v>
      </c>
      <c r="D19" s="30">
        <v>3</v>
      </c>
      <c r="E19" s="53">
        <v>0</v>
      </c>
      <c r="F19" s="23">
        <f t="shared" ca="1" si="3"/>
        <v>0</v>
      </c>
      <c r="K19" s="118" t="s">
        <v>68</v>
      </c>
      <c r="L19" s="23">
        <f t="shared" ca="1" si="0"/>
        <v>0.33750000000000002</v>
      </c>
      <c r="M19" s="174">
        <v>8</v>
      </c>
      <c r="N19" s="53">
        <v>0</v>
      </c>
      <c r="O19" s="120">
        <f t="shared" ca="1" si="1"/>
        <v>0</v>
      </c>
    </row>
    <row r="20" spans="2:18" ht="15.75" customHeight="1">
      <c r="B20" s="29" t="s">
        <v>296</v>
      </c>
      <c r="C20" s="152">
        <f t="shared" ca="1" si="2"/>
        <v>0.13278688524590165</v>
      </c>
      <c r="D20" s="30">
        <v>1</v>
      </c>
      <c r="E20" s="53">
        <v>0</v>
      </c>
      <c r="F20" s="152">
        <f t="shared" ca="1" si="3"/>
        <v>0</v>
      </c>
      <c r="K20" s="118" t="s">
        <v>69</v>
      </c>
      <c r="L20" s="23">
        <f t="shared" ca="1" si="0"/>
        <v>0.33750000000000002</v>
      </c>
      <c r="M20" s="174">
        <v>8</v>
      </c>
      <c r="N20" s="53">
        <v>0</v>
      </c>
      <c r="O20" s="120">
        <f t="shared" ca="1" si="1"/>
        <v>0</v>
      </c>
    </row>
    <row r="21" spans="2:18" ht="15.75" customHeight="1">
      <c r="B21" s="29" t="s">
        <v>295</v>
      </c>
      <c r="C21" s="23">
        <f t="shared" ca="1" si="2"/>
        <v>0.13278688524590165</v>
      </c>
      <c r="D21" s="30">
        <v>1</v>
      </c>
      <c r="E21" s="53">
        <v>4</v>
      </c>
      <c r="F21" s="23">
        <f t="shared" ca="1" si="3"/>
        <v>0.13278688524590165</v>
      </c>
      <c r="K21" s="118" t="s">
        <v>70</v>
      </c>
      <c r="L21" s="23">
        <f t="shared" ca="1" si="0"/>
        <v>0.12656250000000002</v>
      </c>
      <c r="M21" s="119">
        <v>3</v>
      </c>
      <c r="N21" s="53">
        <v>4</v>
      </c>
      <c r="O21" s="120">
        <f t="shared" ca="1" si="1"/>
        <v>0.12656250000000002</v>
      </c>
    </row>
    <row r="22" spans="2:18" ht="15.75" customHeight="1">
      <c r="B22" s="240" t="s">
        <v>304</v>
      </c>
      <c r="C22" s="241"/>
      <c r="D22" s="241"/>
      <c r="E22" s="242"/>
      <c r="F22" s="151"/>
      <c r="K22" s="118" t="s">
        <v>300</v>
      </c>
      <c r="L22" s="23">
        <f t="shared" ca="1" si="0"/>
        <v>0.12656250000000002</v>
      </c>
      <c r="M22" s="119">
        <v>3</v>
      </c>
      <c r="N22" s="53">
        <v>4</v>
      </c>
      <c r="O22" s="120">
        <f t="shared" ca="1" si="1"/>
        <v>0.12656250000000002</v>
      </c>
    </row>
    <row r="23" spans="2:18" ht="15.75" customHeight="1">
      <c r="B23" s="29" t="s">
        <v>313</v>
      </c>
      <c r="C23" s="23">
        <f t="shared" ref="C23:C30" ca="1" si="4">D23/$D$42*$F$7</f>
        <v>0.26557377049180331</v>
      </c>
      <c r="D23" s="30">
        <v>2</v>
      </c>
      <c r="E23" s="53">
        <v>3</v>
      </c>
      <c r="F23" s="23">
        <f t="shared" ref="F23:F30" ca="1" si="5">E23/4 * C23</f>
        <v>0.19918032786885248</v>
      </c>
      <c r="K23" s="118" t="s">
        <v>71</v>
      </c>
      <c r="L23" s="23">
        <f t="shared" ca="1" si="0"/>
        <v>0.12656250000000002</v>
      </c>
      <c r="M23" s="119">
        <v>3</v>
      </c>
      <c r="N23" s="54">
        <f>Q23*4/R23</f>
        <v>4</v>
      </c>
      <c r="O23" s="120">
        <f t="shared" ca="1" si="1"/>
        <v>0.12656250000000002</v>
      </c>
      <c r="Q23" s="144">
        <v>3</v>
      </c>
      <c r="R23" s="25">
        <v>3</v>
      </c>
    </row>
    <row r="24" spans="2:18" ht="15.75" customHeight="1">
      <c r="B24" s="29" t="s">
        <v>293</v>
      </c>
      <c r="C24" s="23">
        <f t="shared" ca="1" si="4"/>
        <v>0.26557377049180331</v>
      </c>
      <c r="D24" s="30">
        <v>2</v>
      </c>
      <c r="E24" s="53">
        <v>4</v>
      </c>
      <c r="F24" s="23">
        <f t="shared" ca="1" si="5"/>
        <v>0.26557377049180331</v>
      </c>
      <c r="K24" s="118" t="s">
        <v>72</v>
      </c>
      <c r="L24" s="23">
        <f t="shared" ca="1" si="0"/>
        <v>0.12656250000000002</v>
      </c>
      <c r="M24" s="119">
        <v>3</v>
      </c>
      <c r="N24" s="53">
        <v>3</v>
      </c>
      <c r="O24" s="120">
        <f t="shared" ca="1" si="1"/>
        <v>9.4921875000000017E-2</v>
      </c>
    </row>
    <row r="25" spans="2:18" ht="15.75" customHeight="1">
      <c r="B25" s="29" t="s">
        <v>290</v>
      </c>
      <c r="C25" s="23">
        <f t="shared" ca="1" si="4"/>
        <v>0.13278688524590165</v>
      </c>
      <c r="D25" s="30">
        <v>1</v>
      </c>
      <c r="E25" s="53">
        <v>0</v>
      </c>
      <c r="F25" s="23">
        <f t="shared" ca="1" si="5"/>
        <v>0</v>
      </c>
      <c r="K25" s="118" t="s">
        <v>73</v>
      </c>
      <c r="L25" s="23">
        <f t="shared" ca="1" si="0"/>
        <v>8.4375000000000006E-2</v>
      </c>
      <c r="M25" s="119">
        <v>2</v>
      </c>
      <c r="N25" s="53">
        <v>4</v>
      </c>
      <c r="O25" s="120">
        <f t="shared" ca="1" si="1"/>
        <v>8.4375000000000006E-2</v>
      </c>
    </row>
    <row r="26" spans="2:18" ht="15.75" customHeight="1">
      <c r="B26" s="29" t="s">
        <v>305</v>
      </c>
      <c r="C26" s="23">
        <f t="shared" ca="1" si="4"/>
        <v>0.39836065573770491</v>
      </c>
      <c r="D26" s="30">
        <v>3</v>
      </c>
      <c r="E26" s="53">
        <v>4</v>
      </c>
      <c r="F26" s="23">
        <f t="shared" ca="1" si="5"/>
        <v>0.39836065573770491</v>
      </c>
      <c r="K26" s="145" t="s">
        <v>74</v>
      </c>
      <c r="L26" s="148">
        <f t="shared" ca="1" si="0"/>
        <v>4.2187500000000003E-2</v>
      </c>
      <c r="M26" s="146">
        <v>1</v>
      </c>
      <c r="N26" s="147">
        <f>Q26*4/R26</f>
        <v>0</v>
      </c>
      <c r="O26" s="149">
        <f t="shared" ca="1" si="1"/>
        <v>0</v>
      </c>
      <c r="Q26" s="144">
        <v>0</v>
      </c>
      <c r="R26" s="25">
        <v>6</v>
      </c>
    </row>
    <row r="27" spans="2:18" ht="15.75" customHeight="1">
      <c r="B27" s="29" t="s">
        <v>294</v>
      </c>
      <c r="C27" s="23">
        <f t="shared" ca="1" si="4"/>
        <v>0.13278688524590165</v>
      </c>
      <c r="D27" s="30">
        <v>1</v>
      </c>
      <c r="E27" s="53">
        <v>4</v>
      </c>
      <c r="F27" s="23">
        <f t="shared" ca="1" si="5"/>
        <v>0.13278688524590165</v>
      </c>
      <c r="K27" s="22" t="s">
        <v>281</v>
      </c>
      <c r="L27" s="23">
        <f t="shared" ca="1" si="0"/>
        <v>8.4375000000000006E-2</v>
      </c>
      <c r="M27" s="30">
        <v>2</v>
      </c>
      <c r="N27" s="53">
        <v>0</v>
      </c>
      <c r="O27" s="149">
        <f t="shared" ca="1" si="1"/>
        <v>0</v>
      </c>
    </row>
    <row r="28" spans="2:18" ht="15.75" customHeight="1">
      <c r="B28" s="29" t="s">
        <v>306</v>
      </c>
      <c r="C28" s="23">
        <f t="shared" ca="1" si="4"/>
        <v>0.39836065573770491</v>
      </c>
      <c r="D28" s="30">
        <v>3</v>
      </c>
      <c r="E28" s="53">
        <v>4</v>
      </c>
      <c r="F28" s="23">
        <f t="shared" ca="1" si="5"/>
        <v>0.39836065573770491</v>
      </c>
      <c r="K28" s="22" t="s">
        <v>282</v>
      </c>
      <c r="L28" s="23">
        <f t="shared" ca="1" si="0"/>
        <v>8.4375000000000006E-2</v>
      </c>
      <c r="M28" s="30">
        <v>2</v>
      </c>
      <c r="N28" s="53">
        <v>0</v>
      </c>
      <c r="O28" s="150">
        <f t="shared" ca="1" si="1"/>
        <v>0</v>
      </c>
    </row>
    <row r="29" spans="2:18" ht="15.75" customHeight="1" thickBot="1">
      <c r="B29" s="29" t="s">
        <v>307</v>
      </c>
      <c r="C29" s="23">
        <f t="shared" ca="1" si="4"/>
        <v>0.39836065573770491</v>
      </c>
      <c r="D29" s="30">
        <v>3</v>
      </c>
      <c r="E29" s="53">
        <v>4</v>
      </c>
      <c r="F29" s="23">
        <f t="shared" ca="1" si="5"/>
        <v>0.39836065573770491</v>
      </c>
      <c r="K29" s="61" t="s">
        <v>33</v>
      </c>
      <c r="L29" s="62">
        <f ca="1">SUM(L9:L28)</f>
        <v>2.6999999999999997</v>
      </c>
      <c r="M29" s="62">
        <f>SUM(M9:M28)</f>
        <v>64</v>
      </c>
      <c r="N29" s="82"/>
      <c r="O29" s="69">
        <f ca="1">SUM(O9:O28)</f>
        <v>1.0624218750000001</v>
      </c>
    </row>
    <row r="30" spans="2:18" ht="15.75" customHeight="1" thickTop="1">
      <c r="B30" s="29" t="s">
        <v>308</v>
      </c>
      <c r="C30" s="23">
        <f t="shared" ca="1" si="4"/>
        <v>0.26557377049180331</v>
      </c>
      <c r="D30" s="30">
        <v>2</v>
      </c>
      <c r="E30" s="53">
        <v>4</v>
      </c>
      <c r="F30" s="23">
        <f t="shared" ca="1" si="5"/>
        <v>0.26557377049180331</v>
      </c>
    </row>
    <row r="31" spans="2:18" ht="15.75" customHeight="1">
      <c r="B31" s="240" t="s">
        <v>309</v>
      </c>
      <c r="C31" s="241"/>
      <c r="D31" s="241"/>
      <c r="E31" s="242"/>
      <c r="F31" s="151"/>
      <c r="K31" s="113" t="s">
        <v>75</v>
      </c>
      <c r="L31" s="232">
        <f>Master!$D$12</f>
        <v>0.1</v>
      </c>
      <c r="M31" s="233"/>
      <c r="N31" s="234"/>
      <c r="O31" s="113">
        <f ca="1">L31*O5</f>
        <v>0.30000000000000004</v>
      </c>
    </row>
    <row r="32" spans="2:18" ht="15.75" customHeight="1">
      <c r="B32" s="29" t="s">
        <v>297</v>
      </c>
      <c r="C32" s="23">
        <f ca="1">D32/$D$42*$F$7</f>
        <v>0.13278688524590165</v>
      </c>
      <c r="D32" s="30">
        <v>1</v>
      </c>
      <c r="E32" s="53">
        <v>4</v>
      </c>
      <c r="F32" s="23">
        <f ca="1">E32/4 * C32</f>
        <v>0.13278688524590165</v>
      </c>
      <c r="K32" s="21" t="s">
        <v>222</v>
      </c>
      <c r="L32" s="60" t="s">
        <v>228</v>
      </c>
      <c r="M32" s="60" t="s">
        <v>9</v>
      </c>
      <c r="N32" s="116" t="s">
        <v>2</v>
      </c>
      <c r="O32" s="117" t="s">
        <v>11</v>
      </c>
    </row>
    <row r="33" spans="2:15" ht="15.75" customHeight="1">
      <c r="B33" s="29" t="s">
        <v>311</v>
      </c>
      <c r="C33" s="23">
        <f ca="1">D33/$D$42*$F$7</f>
        <v>0.53114754098360661</v>
      </c>
      <c r="D33" s="30">
        <v>4</v>
      </c>
      <c r="E33" s="53">
        <v>2</v>
      </c>
      <c r="F33" s="23">
        <f ca="1">E33/4 * C33</f>
        <v>0.26557377049180331</v>
      </c>
      <c r="K33" s="67" t="s">
        <v>76</v>
      </c>
      <c r="L33" s="23">
        <f ca="1">M33/$M$37*$O$31</f>
        <v>8.5714285714285729E-2</v>
      </c>
      <c r="M33" s="24">
        <v>2</v>
      </c>
      <c r="N33" s="53">
        <v>2</v>
      </c>
      <c r="O33" s="23">
        <f ca="1">N33/4 * L33</f>
        <v>4.2857142857142864E-2</v>
      </c>
    </row>
    <row r="34" spans="2:15" ht="15.75" customHeight="1">
      <c r="B34" s="29" t="s">
        <v>298</v>
      </c>
      <c r="C34" s="23">
        <f ca="1">D34/$D$42*$F$7</f>
        <v>0.53114754098360661</v>
      </c>
      <c r="D34" s="30">
        <v>4</v>
      </c>
      <c r="E34" s="53">
        <v>4</v>
      </c>
      <c r="F34" s="23">
        <f ca="1">E34/4 * C34</f>
        <v>0.53114754098360661</v>
      </c>
      <c r="K34" s="67" t="s">
        <v>77</v>
      </c>
      <c r="L34" s="23">
        <f ca="1">M34/$M$37*$O$31</f>
        <v>0.12857142857142859</v>
      </c>
      <c r="M34" s="24">
        <v>3</v>
      </c>
      <c r="N34" s="53">
        <v>2</v>
      </c>
      <c r="O34" s="23">
        <f ca="1">N34/4 * L34</f>
        <v>6.4285714285714293E-2</v>
      </c>
    </row>
    <row r="35" spans="2:15" ht="15.75" customHeight="1">
      <c r="B35" s="240" t="s">
        <v>318</v>
      </c>
      <c r="C35" s="241"/>
      <c r="D35" s="241"/>
      <c r="E35" s="242"/>
      <c r="F35" s="151"/>
      <c r="K35" s="68" t="s">
        <v>231</v>
      </c>
      <c r="L35" s="23">
        <f ca="1">M35/$M$37*$O$31</f>
        <v>4.2857142857142864E-2</v>
      </c>
      <c r="M35" s="24">
        <v>1</v>
      </c>
      <c r="N35" s="53">
        <v>2</v>
      </c>
      <c r="O35" s="23">
        <f ca="1">N35/4 * L35</f>
        <v>2.1428571428571432E-2</v>
      </c>
    </row>
    <row r="36" spans="2:15" ht="15.75" customHeight="1">
      <c r="B36" s="29" t="s">
        <v>299</v>
      </c>
      <c r="C36" s="23">
        <f t="shared" ref="C36:C41" ca="1" si="6">D36/$D$42*$F$7</f>
        <v>0.26557377049180331</v>
      </c>
      <c r="D36" s="30">
        <v>2</v>
      </c>
      <c r="E36" s="53">
        <v>4</v>
      </c>
      <c r="F36" s="23">
        <f t="shared" ref="F36:F41" ca="1" si="7">E36/4 * C36</f>
        <v>0.26557377049180331</v>
      </c>
      <c r="K36" s="68" t="s">
        <v>232</v>
      </c>
      <c r="L36" s="23">
        <f ca="1">M36/$M$37*$O$31</f>
        <v>4.2857142857142864E-2</v>
      </c>
      <c r="M36" s="24">
        <v>1</v>
      </c>
      <c r="N36" s="53">
        <v>2</v>
      </c>
      <c r="O36" s="23">
        <f ca="1">N36/4 * L36</f>
        <v>2.1428571428571432E-2</v>
      </c>
    </row>
    <row r="37" spans="2:15" ht="15.75" customHeight="1" thickBot="1">
      <c r="B37" s="55" t="s">
        <v>315</v>
      </c>
      <c r="C37" s="23">
        <f t="shared" ca="1" si="6"/>
        <v>0.39836065573770491</v>
      </c>
      <c r="D37" s="30">
        <v>3</v>
      </c>
      <c r="E37" s="53">
        <v>4</v>
      </c>
      <c r="F37" s="23">
        <f t="shared" ca="1" si="7"/>
        <v>0.39836065573770491</v>
      </c>
      <c r="K37" s="33" t="s">
        <v>33</v>
      </c>
      <c r="L37" s="34">
        <f ca="1">SUM(L33:L36)</f>
        <v>0.30000000000000004</v>
      </c>
      <c r="M37" s="34">
        <f>SUM(M33:M36)</f>
        <v>7</v>
      </c>
      <c r="N37" s="35"/>
      <c r="O37" s="62">
        <f ca="1">SUM(O33:O36)</f>
        <v>0.15000000000000002</v>
      </c>
    </row>
    <row r="38" spans="2:15" ht="15.75" customHeight="1" thickTop="1">
      <c r="B38" s="55" t="s">
        <v>301</v>
      </c>
      <c r="C38" s="23">
        <f t="shared" ca="1" si="6"/>
        <v>0.13278688524590165</v>
      </c>
      <c r="D38" s="30">
        <v>1</v>
      </c>
      <c r="E38" s="53">
        <v>4</v>
      </c>
      <c r="F38" s="23">
        <f t="shared" ca="1" si="7"/>
        <v>0.13278688524590165</v>
      </c>
    </row>
    <row r="39" spans="2:15" ht="15.75" customHeight="1" thickBot="1">
      <c r="B39" s="155" t="s">
        <v>93</v>
      </c>
      <c r="C39" s="128">
        <f t="shared" ca="1" si="6"/>
        <v>0.26557377049180331</v>
      </c>
      <c r="D39" s="30">
        <v>2</v>
      </c>
      <c r="E39" s="53">
        <v>0</v>
      </c>
      <c r="F39" s="23">
        <f t="shared" ca="1" si="7"/>
        <v>0</v>
      </c>
      <c r="K39" s="235" t="s">
        <v>233</v>
      </c>
      <c r="L39" s="236"/>
      <c r="M39" s="236"/>
      <c r="N39" s="237"/>
      <c r="O39" s="115">
        <f ca="1">SUM(O29,O37)</f>
        <v>1.212421875</v>
      </c>
    </row>
    <row r="40" spans="2:15" ht="15.75" customHeight="1" thickTop="1">
      <c r="B40" s="31" t="s">
        <v>281</v>
      </c>
      <c r="C40" s="128">
        <f t="shared" ca="1" si="6"/>
        <v>0.26557377049180331</v>
      </c>
      <c r="D40" s="30">
        <v>2</v>
      </c>
      <c r="E40" s="53">
        <v>0</v>
      </c>
      <c r="F40" s="23">
        <f t="shared" ca="1" si="7"/>
        <v>0</v>
      </c>
    </row>
    <row r="41" spans="2:15" ht="15.75" customHeight="1">
      <c r="B41" s="22" t="s">
        <v>282</v>
      </c>
      <c r="C41" s="23">
        <f t="shared" ca="1" si="6"/>
        <v>0.26557377049180331</v>
      </c>
      <c r="D41" s="30">
        <v>2</v>
      </c>
      <c r="E41" s="53">
        <v>0</v>
      </c>
      <c r="F41" s="23">
        <f t="shared" ca="1" si="7"/>
        <v>0</v>
      </c>
    </row>
    <row r="42" spans="2:15" ht="15.75" customHeight="1" thickBot="1">
      <c r="B42" s="61" t="s">
        <v>33</v>
      </c>
      <c r="C42" s="62">
        <f ca="1">SUM(C10:C41)</f>
        <v>8.100000000000005</v>
      </c>
      <c r="D42" s="62">
        <f>SUM(D10:D41)</f>
        <v>61</v>
      </c>
      <c r="E42" s="52"/>
      <c r="F42" s="62">
        <f ca="1">SUM(F10:F41)</f>
        <v>5.6434426229508201</v>
      </c>
    </row>
    <row r="43" spans="2:15" ht="15.75" customHeight="1" thickTop="1"/>
    <row r="44" spans="2:15" ht="15.75" customHeight="1">
      <c r="B44" s="113" t="s">
        <v>75</v>
      </c>
      <c r="C44" s="232">
        <f>Master!$D$12</f>
        <v>0.1</v>
      </c>
      <c r="D44" s="233"/>
      <c r="E44" s="234"/>
      <c r="F44" s="113">
        <f ca="1">C44*F5</f>
        <v>0.9</v>
      </c>
    </row>
    <row r="45" spans="2:15" ht="15.75" customHeight="1">
      <c r="B45" s="21" t="s">
        <v>222</v>
      </c>
      <c r="C45" s="60" t="s">
        <v>228</v>
      </c>
      <c r="D45" s="60" t="s">
        <v>9</v>
      </c>
      <c r="E45" s="116" t="s">
        <v>2</v>
      </c>
      <c r="F45" s="117" t="s">
        <v>11</v>
      </c>
    </row>
    <row r="46" spans="2:15" ht="15.75" customHeight="1">
      <c r="B46" s="67" t="s">
        <v>76</v>
      </c>
      <c r="C46" s="23">
        <f ca="1">D46/$D$50*$F$44</f>
        <v>0.25714285714285712</v>
      </c>
      <c r="D46" s="24">
        <v>2</v>
      </c>
      <c r="E46" s="53">
        <v>4</v>
      </c>
      <c r="F46" s="23">
        <f ca="1">E46/4 * C46</f>
        <v>0.25714285714285712</v>
      </c>
    </row>
    <row r="47" spans="2:15" ht="15.75" customHeight="1">
      <c r="B47" s="67" t="s">
        <v>77</v>
      </c>
      <c r="C47" s="23">
        <f ca="1">D47/$D$50*$F$44</f>
        <v>0.38571428571428568</v>
      </c>
      <c r="D47" s="24">
        <v>3</v>
      </c>
      <c r="E47" s="53">
        <v>4</v>
      </c>
      <c r="F47" s="23">
        <f ca="1">E47/4 * C47</f>
        <v>0.38571428571428568</v>
      </c>
    </row>
    <row r="48" spans="2:15" ht="15.75" customHeight="1">
      <c r="B48" s="68" t="s">
        <v>231</v>
      </c>
      <c r="C48" s="23">
        <f ca="1">D48/$D$50*$F$44</f>
        <v>0.12857142857142856</v>
      </c>
      <c r="D48" s="24">
        <v>1</v>
      </c>
      <c r="E48" s="53">
        <v>4</v>
      </c>
      <c r="F48" s="23">
        <f ca="1">E48/4 * C48</f>
        <v>0.12857142857142856</v>
      </c>
    </row>
    <row r="49" spans="2:12" ht="15.75" customHeight="1">
      <c r="B49" s="68" t="s">
        <v>232</v>
      </c>
      <c r="C49" s="23">
        <f ca="1">D49/$D$50*$F$44</f>
        <v>0.12857142857142856</v>
      </c>
      <c r="D49" s="24">
        <v>1</v>
      </c>
      <c r="E49" s="53">
        <v>4</v>
      </c>
      <c r="F49" s="23">
        <f ca="1">E49/4 * C49</f>
        <v>0.12857142857142856</v>
      </c>
    </row>
    <row r="50" spans="2:12" ht="15.75" customHeight="1" thickBot="1">
      <c r="B50" s="33" t="s">
        <v>33</v>
      </c>
      <c r="C50" s="34">
        <f ca="1">SUM(C46:C49)</f>
        <v>0.89999999999999991</v>
      </c>
      <c r="D50" s="34">
        <f>SUM(D46:D49)</f>
        <v>7</v>
      </c>
      <c r="E50" s="35"/>
      <c r="F50" s="62">
        <f ca="1">SUM(F46:F49)</f>
        <v>0.89999999999999991</v>
      </c>
    </row>
    <row r="51" spans="2:12" ht="15.75" customHeight="1" thickTop="1"/>
    <row r="52" spans="2:12" ht="15.75" customHeight="1" thickBot="1">
      <c r="B52" s="235" t="s">
        <v>233</v>
      </c>
      <c r="C52" s="236"/>
      <c r="D52" s="236"/>
      <c r="E52" s="237"/>
      <c r="F52" s="115">
        <f ca="1">SUM(F42,F50)</f>
        <v>6.5434426229508205</v>
      </c>
    </row>
    <row r="53" spans="2:12" ht="15.75" customHeight="1" thickTop="1"/>
    <row r="54" spans="2:12" ht="15.75" customHeight="1"/>
    <row r="55" spans="2:12" ht="15.75" customHeight="1" thickBot="1">
      <c r="B55" s="238" t="s">
        <v>219</v>
      </c>
      <c r="C55" s="238"/>
      <c r="D55" s="238"/>
      <c r="E55" s="238"/>
      <c r="F55" s="107">
        <f ca="1">SUM(F52,O39)</f>
        <v>7.7558644979508209</v>
      </c>
    </row>
    <row r="56" spans="2:12" ht="15.75" customHeight="1" thickTop="1"/>
    <row r="57" spans="2:12" ht="15.75" customHeight="1"/>
    <row r="58" spans="2:12" ht="15.75" customHeight="1"/>
    <row r="59" spans="2:12" ht="15.75" customHeight="1"/>
    <row r="60" spans="2:12" ht="15.75" customHeight="1">
      <c r="G60" s="96"/>
      <c r="L60" s="51"/>
    </row>
    <row r="61" spans="2:12" ht="15.75" customHeight="1"/>
    <row r="62" spans="2:12" ht="15.75" customHeight="1"/>
    <row r="63" spans="2:12" ht="15.75" customHeight="1"/>
    <row r="64" spans="2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14">
    <mergeCell ref="B2:E2"/>
    <mergeCell ref="L5:N5"/>
    <mergeCell ref="L31:N31"/>
    <mergeCell ref="B52:E52"/>
    <mergeCell ref="B55:E55"/>
    <mergeCell ref="K39:N39"/>
    <mergeCell ref="L7:N7"/>
    <mergeCell ref="C5:E5"/>
    <mergeCell ref="C7:E7"/>
    <mergeCell ref="C44:E44"/>
    <mergeCell ref="B9:E9"/>
    <mergeCell ref="B22:E22"/>
    <mergeCell ref="B31:E31"/>
    <mergeCell ref="B35:E35"/>
  </mergeCells>
  <dataValidations count="1">
    <dataValidation type="decimal" allowBlank="1" showErrorMessage="1" sqref="E36:E41 E46:E49 E10:E21 E32:E34 E23:E30 N33:N36 N9:N28" xr:uid="{00000000-0002-0000-0200-000000000000}">
      <formula1>0</formula1>
      <formula2>4</formula2>
    </dataValidation>
  </dataValidations>
  <pageMargins left="0.7" right="0.7" top="0.75" bottom="0.75" header="0" footer="0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B2:I1003"/>
  <sheetViews>
    <sheetView topLeftCell="A9" zoomScale="160" zoomScaleNormal="160" workbookViewId="0">
      <selection activeCell="E21" sqref="E21"/>
    </sheetView>
  </sheetViews>
  <sheetFormatPr defaultColWidth="14.42578125" defaultRowHeight="15" customHeight="1"/>
  <cols>
    <col min="1" max="1" width="11.42578125" style="5" customWidth="1"/>
    <col min="2" max="2" width="37.42578125" style="5" bestFit="1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7" width="11.42578125" style="5" customWidth="1"/>
    <col min="8" max="8" width="11.42578125" style="5" bestFit="1" customWidth="1"/>
    <col min="9" max="9" width="11.140625" style="5" bestFit="1" customWidth="1"/>
    <col min="10" max="10" width="11.42578125" style="5" customWidth="1"/>
    <col min="11" max="11" width="30.28515625" style="5" bestFit="1" customWidth="1"/>
    <col min="12" max="26" width="11.42578125" style="5" customWidth="1"/>
    <col min="27" max="16384" width="14.42578125" style="5"/>
  </cols>
  <sheetData>
    <row r="2" spans="2:9">
      <c r="B2" s="229" t="str" cm="1">
        <f t="array" aca="1" ref="B2" ca="1">RIGHT(CELL("filename", A1), LEN(CELL("filename", A1)) - FIND("]", CELL("filename", A1)))</f>
        <v>Sign Up Page</v>
      </c>
      <c r="C2" s="230"/>
      <c r="D2" s="230"/>
      <c r="E2" s="231"/>
      <c r="F2" s="97">
        <f ca="1">VLOOKUP(B2,Master!B16:C38,2,FALSE)</f>
        <v>3</v>
      </c>
    </row>
    <row r="3" spans="2:9"/>
    <row r="4" spans="2:9">
      <c r="B4" s="20" t="s">
        <v>80</v>
      </c>
      <c r="C4" s="216">
        <f>Master!$D$11</f>
        <v>0.9</v>
      </c>
      <c r="D4" s="228"/>
      <c r="E4" s="227"/>
      <c r="F4" s="17">
        <f ca="1">C4*F2</f>
        <v>2.7</v>
      </c>
    </row>
    <row r="5" spans="2:9">
      <c r="B5" s="60" t="s">
        <v>222</v>
      </c>
      <c r="C5" s="60" t="s">
        <v>228</v>
      </c>
      <c r="D5" s="60" t="s">
        <v>9</v>
      </c>
      <c r="E5" s="60" t="s">
        <v>2</v>
      </c>
      <c r="F5" s="60" t="s">
        <v>11</v>
      </c>
    </row>
    <row r="6" spans="2:9">
      <c r="B6" s="63" t="s">
        <v>330</v>
      </c>
      <c r="C6" s="13">
        <f t="shared" ref="C6:C22" ca="1" si="0">D6/$D$23*$F$4</f>
        <v>3.2142857142857147E-2</v>
      </c>
      <c r="D6" s="56">
        <v>1</v>
      </c>
      <c r="E6" s="122">
        <v>4</v>
      </c>
      <c r="F6" s="65">
        <f ca="1">E6/4*C6</f>
        <v>3.2142857142857147E-2</v>
      </c>
      <c r="H6" s="134" t="s">
        <v>322</v>
      </c>
      <c r="I6" s="134" t="s">
        <v>96</v>
      </c>
    </row>
    <row r="7" spans="2:9">
      <c r="B7" s="63" t="s">
        <v>275</v>
      </c>
      <c r="C7" s="13">
        <f t="shared" ca="1" si="0"/>
        <v>3.2142857142857147E-2</v>
      </c>
      <c r="D7" s="56">
        <v>1</v>
      </c>
      <c r="E7" s="3">
        <f>H7*4/I7</f>
        <v>4</v>
      </c>
      <c r="F7" s="65">
        <f t="shared" ref="F7:F22" ca="1" si="1">E7/4*C7</f>
        <v>3.2142857142857147E-2</v>
      </c>
      <c r="H7" s="135">
        <v>4</v>
      </c>
      <c r="I7" s="136">
        <v>4</v>
      </c>
    </row>
    <row r="8" spans="2:9">
      <c r="B8" s="63" t="s">
        <v>276</v>
      </c>
      <c r="C8" s="13">
        <f t="shared" ca="1" si="0"/>
        <v>6.4285714285714293E-2</v>
      </c>
      <c r="D8" s="56">
        <v>2</v>
      </c>
      <c r="E8" s="3">
        <f>H8*4/I8</f>
        <v>4</v>
      </c>
      <c r="F8" s="65">
        <f t="shared" ca="1" si="1"/>
        <v>6.4285714285714293E-2</v>
      </c>
      <c r="H8" s="135">
        <v>7</v>
      </c>
      <c r="I8" s="136">
        <v>7</v>
      </c>
    </row>
    <row r="9" spans="2:9">
      <c r="B9" s="63" t="s">
        <v>277</v>
      </c>
      <c r="C9" s="13">
        <f t="shared" ca="1" si="0"/>
        <v>9.6428571428571433E-2</v>
      </c>
      <c r="D9" s="56">
        <v>3</v>
      </c>
      <c r="E9" s="122">
        <v>4</v>
      </c>
      <c r="F9" s="65">
        <f t="shared" ca="1" si="1"/>
        <v>9.6428571428571433E-2</v>
      </c>
    </row>
    <row r="10" spans="2:9">
      <c r="B10" s="63" t="s">
        <v>278</v>
      </c>
      <c r="C10" s="13">
        <f t="shared" ca="1" si="0"/>
        <v>9.6428571428571433E-2</v>
      </c>
      <c r="D10" s="56">
        <v>3</v>
      </c>
      <c r="E10" s="122">
        <v>4</v>
      </c>
      <c r="F10" s="65">
        <f t="shared" ca="1" si="1"/>
        <v>9.6428571428571433E-2</v>
      </c>
    </row>
    <row r="11" spans="2:9">
      <c r="B11" s="63" t="s">
        <v>279</v>
      </c>
      <c r="C11" s="13">
        <f t="shared" ca="1" si="0"/>
        <v>9.6428571428571433E-2</v>
      </c>
      <c r="D11" s="56">
        <v>3</v>
      </c>
      <c r="E11" s="122">
        <v>4</v>
      </c>
      <c r="F11" s="65">
        <f t="shared" ca="1" si="1"/>
        <v>9.6428571428571433E-2</v>
      </c>
      <c r="H11" s="137"/>
    </row>
    <row r="12" spans="2:9">
      <c r="B12" s="63" t="s">
        <v>86</v>
      </c>
      <c r="C12" s="13">
        <f t="shared" ca="1" si="0"/>
        <v>0.6428571428571429</v>
      </c>
      <c r="D12" s="56">
        <v>20</v>
      </c>
      <c r="E12" s="122">
        <v>4</v>
      </c>
      <c r="F12" s="65">
        <f t="shared" ca="1" si="1"/>
        <v>0.6428571428571429</v>
      </c>
      <c r="H12" s="100"/>
    </row>
    <row r="13" spans="2:9">
      <c r="B13" s="63" t="s">
        <v>398</v>
      </c>
      <c r="C13" s="13">
        <f t="shared" ref="C13" ca="1" si="2">D13/$D$23*$F$4</f>
        <v>9.6428571428571433E-2</v>
      </c>
      <c r="D13" s="56">
        <v>3</v>
      </c>
      <c r="E13" s="122">
        <v>4</v>
      </c>
      <c r="F13" s="65">
        <f t="shared" ref="F13" ca="1" si="3">E13/4*C13</f>
        <v>9.6428571428571433E-2</v>
      </c>
      <c r="H13" s="100"/>
    </row>
    <row r="14" spans="2:9">
      <c r="B14" s="63" t="s">
        <v>87</v>
      </c>
      <c r="C14" s="13">
        <f t="shared" ca="1" si="0"/>
        <v>9.6428571428571433E-2</v>
      </c>
      <c r="D14" s="56">
        <v>3</v>
      </c>
      <c r="E14" s="122">
        <v>4</v>
      </c>
      <c r="F14" s="65">
        <f t="shared" ca="1" si="1"/>
        <v>9.6428571428571433E-2</v>
      </c>
    </row>
    <row r="15" spans="2:9">
      <c r="B15" s="63" t="s">
        <v>280</v>
      </c>
      <c r="C15" s="13">
        <f t="shared" ca="1" si="0"/>
        <v>0.32142857142857145</v>
      </c>
      <c r="D15" s="56">
        <v>10</v>
      </c>
      <c r="E15" s="122">
        <v>4</v>
      </c>
      <c r="F15" s="65">
        <f t="shared" ca="1" si="1"/>
        <v>0.32142857142857145</v>
      </c>
    </row>
    <row r="16" spans="2:9">
      <c r="B16" s="66" t="s">
        <v>82</v>
      </c>
      <c r="C16" s="13">
        <f t="shared" ca="1" si="0"/>
        <v>0.6428571428571429</v>
      </c>
      <c r="D16" s="58">
        <v>20</v>
      </c>
      <c r="E16" s="122">
        <v>0</v>
      </c>
      <c r="F16" s="65">
        <f t="shared" ca="1" si="1"/>
        <v>0</v>
      </c>
    </row>
    <row r="17" spans="2:6">
      <c r="B17" s="14" t="s">
        <v>88</v>
      </c>
      <c r="C17" s="13">
        <f t="shared" ca="1" si="0"/>
        <v>0.16071428571428573</v>
      </c>
      <c r="D17" s="64">
        <v>5</v>
      </c>
      <c r="E17" s="122">
        <v>2</v>
      </c>
      <c r="F17" s="65">
        <f t="shared" ca="1" si="1"/>
        <v>8.0357142857142863E-2</v>
      </c>
    </row>
    <row r="18" spans="2:6">
      <c r="B18" s="14" t="s">
        <v>83</v>
      </c>
      <c r="C18" s="13">
        <f t="shared" ca="1" si="0"/>
        <v>3.2142857142857147E-2</v>
      </c>
      <c r="D18" s="64">
        <v>1</v>
      </c>
      <c r="E18" s="122">
        <v>4</v>
      </c>
      <c r="F18" s="65">
        <f t="shared" ca="1" si="1"/>
        <v>3.2142857142857147E-2</v>
      </c>
    </row>
    <row r="19" spans="2:6">
      <c r="B19" s="14" t="s">
        <v>84</v>
      </c>
      <c r="C19" s="13">
        <f t="shared" ca="1" si="0"/>
        <v>6.4285714285714293E-2</v>
      </c>
      <c r="D19" s="64">
        <v>2</v>
      </c>
      <c r="E19" s="122">
        <v>0</v>
      </c>
      <c r="F19" s="65">
        <f t="shared" ca="1" si="1"/>
        <v>0</v>
      </c>
    </row>
    <row r="20" spans="2:6">
      <c r="B20" s="14" t="s">
        <v>85</v>
      </c>
      <c r="C20" s="13">
        <f t="shared" ca="1" si="0"/>
        <v>9.6428571428571433E-2</v>
      </c>
      <c r="D20" s="64">
        <v>3</v>
      </c>
      <c r="E20" s="122">
        <v>4</v>
      </c>
      <c r="F20" s="65">
        <f t="shared" ca="1" si="1"/>
        <v>9.6428571428571433E-2</v>
      </c>
    </row>
    <row r="21" spans="2:6">
      <c r="B21" s="22" t="s">
        <v>281</v>
      </c>
      <c r="C21" s="13">
        <f t="shared" ca="1" si="0"/>
        <v>6.4285714285714293E-2</v>
      </c>
      <c r="D21" s="64">
        <v>2</v>
      </c>
      <c r="E21" s="122">
        <v>0</v>
      </c>
      <c r="F21" s="65">
        <f t="shared" ca="1" si="1"/>
        <v>0</v>
      </c>
    </row>
    <row r="22" spans="2:6">
      <c r="B22" s="22" t="s">
        <v>282</v>
      </c>
      <c r="C22" s="13">
        <f t="shared" ca="1" si="0"/>
        <v>6.4285714285714293E-2</v>
      </c>
      <c r="D22" s="64">
        <v>2</v>
      </c>
      <c r="E22" s="122">
        <v>0</v>
      </c>
      <c r="F22" s="65">
        <f t="shared" ca="1" si="1"/>
        <v>0</v>
      </c>
    </row>
    <row r="23" spans="2:6" ht="15.75" thickBot="1">
      <c r="B23" s="61" t="s">
        <v>33</v>
      </c>
      <c r="C23" s="62">
        <f ca="1">SUM(C6:C22)</f>
        <v>2.7000000000000006</v>
      </c>
      <c r="D23" s="62">
        <f>SUM(D6:D22)</f>
        <v>84</v>
      </c>
      <c r="E23" s="52"/>
      <c r="F23" s="62">
        <f ca="1">SUM(F6:F22)</f>
        <v>1.7839285714285718</v>
      </c>
    </row>
    <row r="24" spans="2:6" ht="15.75" thickTop="1"/>
    <row r="25" spans="2:6">
      <c r="B25" s="20" t="s">
        <v>75</v>
      </c>
      <c r="C25" s="216">
        <f>Master!$D$12</f>
        <v>0.1</v>
      </c>
      <c r="D25" s="217"/>
      <c r="E25" s="218"/>
      <c r="F25" s="17">
        <f ca="1">C25*F2</f>
        <v>0.30000000000000004</v>
      </c>
    </row>
    <row r="26" spans="2:6">
      <c r="B26" s="21" t="s">
        <v>222</v>
      </c>
      <c r="C26" s="21" t="s">
        <v>228</v>
      </c>
      <c r="D26" s="21" t="s">
        <v>9</v>
      </c>
      <c r="E26" s="21" t="s">
        <v>2</v>
      </c>
      <c r="F26" s="21" t="s">
        <v>11</v>
      </c>
    </row>
    <row r="27" spans="2:6">
      <c r="B27" s="67" t="s">
        <v>76</v>
      </c>
      <c r="C27" s="23">
        <f ca="1">D27/$D$32*$F$25</f>
        <v>6.0000000000000012E-2</v>
      </c>
      <c r="D27" s="24">
        <v>2</v>
      </c>
      <c r="E27" s="122">
        <v>4</v>
      </c>
      <c r="F27" s="25">
        <f ca="1">E27/4 * C27</f>
        <v>6.0000000000000012E-2</v>
      </c>
    </row>
    <row r="28" spans="2:6" ht="15.75" customHeight="1">
      <c r="B28" s="67" t="s">
        <v>77</v>
      </c>
      <c r="C28" s="23">
        <f ca="1">D28/$D$32*$F$25</f>
        <v>9.0000000000000011E-2</v>
      </c>
      <c r="D28" s="24">
        <v>3</v>
      </c>
      <c r="E28" s="122">
        <v>4</v>
      </c>
      <c r="F28" s="25">
        <f ca="1">E28/4 * C28</f>
        <v>9.0000000000000011E-2</v>
      </c>
    </row>
    <row r="29" spans="2:6" ht="15.75" customHeight="1">
      <c r="B29" s="68" t="s">
        <v>231</v>
      </c>
      <c r="C29" s="23">
        <f ca="1">D29/$D$32*$F$25</f>
        <v>3.0000000000000006E-2</v>
      </c>
      <c r="D29" s="24">
        <v>1</v>
      </c>
      <c r="E29" s="122">
        <v>4</v>
      </c>
      <c r="F29" s="25">
        <f ca="1">E29/4 * C29</f>
        <v>3.0000000000000006E-2</v>
      </c>
    </row>
    <row r="30" spans="2:6" ht="15.75" customHeight="1">
      <c r="B30" s="68" t="s">
        <v>232</v>
      </c>
      <c r="C30" s="23">
        <f ca="1">D30/$D$32*$F$25</f>
        <v>3.0000000000000006E-2</v>
      </c>
      <c r="D30" s="24">
        <v>1</v>
      </c>
      <c r="E30" s="122">
        <v>4</v>
      </c>
      <c r="F30" s="25">
        <f ca="1">E30/4 * C30</f>
        <v>3.0000000000000006E-2</v>
      </c>
    </row>
    <row r="31" spans="2:6" ht="15.75" customHeight="1">
      <c r="B31" s="67" t="s">
        <v>78</v>
      </c>
      <c r="C31" s="23">
        <f ca="1">D31/$D$32*$F$25</f>
        <v>9.0000000000000011E-2</v>
      </c>
      <c r="D31" s="24">
        <v>3</v>
      </c>
      <c r="E31" s="122">
        <v>4</v>
      </c>
      <c r="F31" s="25">
        <f ca="1">E31/4 * C31</f>
        <v>9.0000000000000011E-2</v>
      </c>
    </row>
    <row r="32" spans="2:6" ht="15.75" customHeight="1" thickBot="1">
      <c r="B32" s="33" t="s">
        <v>33</v>
      </c>
      <c r="C32" s="34">
        <f ca="1">SUM(C27:C31)</f>
        <v>0.30000000000000004</v>
      </c>
      <c r="D32" s="34">
        <f>SUM(D27:D31)</f>
        <v>10</v>
      </c>
      <c r="E32" s="35"/>
      <c r="F32" s="34">
        <f ca="1">SUM(F27:F31)</f>
        <v>0.30000000000000004</v>
      </c>
    </row>
    <row r="33" spans="2:6" ht="15.75" customHeight="1" thickTop="1"/>
    <row r="34" spans="2:6" ht="15.75" customHeight="1" thickBot="1">
      <c r="B34" s="238" t="s">
        <v>219</v>
      </c>
      <c r="C34" s="238"/>
      <c r="D34" s="238"/>
      <c r="E34" s="238"/>
      <c r="F34" s="107">
        <f ca="1">SUM(F23,F32)</f>
        <v>2.0839285714285718</v>
      </c>
    </row>
    <row r="35" spans="2:6" ht="15.75" customHeight="1" thickTop="1"/>
    <row r="36" spans="2:6" ht="15.75" customHeight="1"/>
    <row r="37" spans="2:6" ht="15.75" customHeight="1"/>
    <row r="38" spans="2:6" ht="15.75" customHeight="1"/>
    <row r="39" spans="2:6" ht="15.75" customHeight="1"/>
    <row r="40" spans="2:6" ht="15.75" customHeight="1"/>
    <row r="41" spans="2:6" ht="15.75" customHeight="1"/>
    <row r="42" spans="2:6" ht="15.75" customHeight="1"/>
    <row r="43" spans="2:6" ht="15.75" customHeight="1"/>
    <row r="44" spans="2:6" ht="15.75" customHeight="1"/>
    <row r="45" spans="2:6" ht="15.75" customHeight="1"/>
    <row r="46" spans="2:6" ht="15.75" customHeight="1"/>
    <row r="47" spans="2:6" ht="15.75" customHeight="1"/>
    <row r="48" spans="2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B2:E2"/>
    <mergeCell ref="C4:E4"/>
    <mergeCell ref="C25:E25"/>
    <mergeCell ref="B34:E34"/>
  </mergeCells>
  <dataValidations count="1">
    <dataValidation type="decimal" allowBlank="1" showErrorMessage="1" sqref="E6:E22 E27:E31" xr:uid="{00000000-0002-0000-0400-000000000000}">
      <formula1>0</formula1>
      <formula2>4</formula2>
    </dataValidation>
  </dataValidations>
  <pageMargins left="0.7" right="0.7" top="0.75" bottom="0.75" header="0" footer="0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1004"/>
  <sheetViews>
    <sheetView zoomScale="176" zoomScaleNormal="120" workbookViewId="0">
      <selection activeCell="B13" sqref="B13"/>
    </sheetView>
  </sheetViews>
  <sheetFormatPr defaultColWidth="14.42578125" defaultRowHeight="15" customHeight="1"/>
  <cols>
    <col min="1" max="1" width="11.42578125" style="5" customWidth="1"/>
    <col min="2" max="2" width="43.7109375" style="5" bestFit="1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7" width="11.42578125" style="5" customWidth="1"/>
    <col min="8" max="8" width="11.7109375" style="5" bestFit="1" customWidth="1"/>
    <col min="9" max="9" width="11.28515625" style="5" bestFit="1" customWidth="1"/>
    <col min="10" max="10" width="35.28515625" style="5" bestFit="1" customWidth="1"/>
    <col min="11" max="26" width="11.42578125" style="5" customWidth="1"/>
    <col min="27" max="16384" width="14.42578125" style="5"/>
  </cols>
  <sheetData>
    <row r="2" spans="2:9">
      <c r="B2" s="229" t="str" cm="1">
        <f t="array" aca="1" ref="B2" ca="1">RIGHT(CELL("filename", A1), LEN(CELL("filename", A1)) - FIND("]", CELL("filename", A1)))</f>
        <v>Login Page</v>
      </c>
      <c r="C2" s="230"/>
      <c r="D2" s="230"/>
      <c r="E2" s="231"/>
      <c r="F2" s="97">
        <f ca="1">VLOOKUP(B2,Master!B16:C38,2,FALSE)</f>
        <v>3</v>
      </c>
    </row>
    <row r="3" spans="2:9"/>
    <row r="4" spans="2:9">
      <c r="B4" s="20" t="s">
        <v>80</v>
      </c>
      <c r="C4" s="216">
        <f>Master!$D$11</f>
        <v>0.9</v>
      </c>
      <c r="D4" s="228"/>
      <c r="E4" s="227"/>
      <c r="F4" s="17">
        <f ca="1">C4*F2</f>
        <v>2.7</v>
      </c>
    </row>
    <row r="5" spans="2:9">
      <c r="B5" s="60" t="s">
        <v>222</v>
      </c>
      <c r="C5" s="60" t="s">
        <v>228</v>
      </c>
      <c r="D5" s="60" t="s">
        <v>9</v>
      </c>
      <c r="E5" s="60" t="s">
        <v>2</v>
      </c>
      <c r="F5" s="60" t="s">
        <v>11</v>
      </c>
    </row>
    <row r="6" spans="2:9" ht="15" customHeight="1">
      <c r="B6" s="63" t="s">
        <v>330</v>
      </c>
      <c r="C6" s="13">
        <f ca="1">D6/$D$17*$F$4</f>
        <v>0.18000000000000002</v>
      </c>
      <c r="D6" s="64">
        <v>2</v>
      </c>
      <c r="E6" s="121">
        <v>4</v>
      </c>
      <c r="F6" s="65">
        <f ca="1">E6/4*C6</f>
        <v>0.18000000000000002</v>
      </c>
    </row>
    <row r="7" spans="2:9">
      <c r="B7" s="63" t="s">
        <v>331</v>
      </c>
      <c r="C7" s="13">
        <f t="shared" ref="C7" ca="1" si="0">D7/$D$17*$F$4</f>
        <v>0.18000000000000002</v>
      </c>
      <c r="D7" s="64">
        <v>2</v>
      </c>
      <c r="E7" s="121">
        <v>4</v>
      </c>
      <c r="F7" s="65">
        <f t="shared" ref="F7:F16" ca="1" si="1">E7/4*C7</f>
        <v>0.18000000000000002</v>
      </c>
      <c r="H7" s="134" t="s">
        <v>322</v>
      </c>
      <c r="I7" s="134" t="s">
        <v>96</v>
      </c>
    </row>
    <row r="8" spans="2:9">
      <c r="B8" s="63" t="s">
        <v>275</v>
      </c>
      <c r="C8" s="13">
        <f t="shared" ref="C8:C16" ca="1" si="2">D8/$D$17*$F$4</f>
        <v>9.0000000000000011E-2</v>
      </c>
      <c r="D8" s="64">
        <v>1</v>
      </c>
      <c r="E8" s="57">
        <f>H8*4/I8</f>
        <v>4</v>
      </c>
      <c r="F8" s="65">
        <f t="shared" ca="1" si="1"/>
        <v>9.0000000000000011E-2</v>
      </c>
      <c r="H8" s="138">
        <v>6</v>
      </c>
      <c r="I8" s="136">
        <v>6</v>
      </c>
    </row>
    <row r="9" spans="2:9">
      <c r="B9" s="63" t="s">
        <v>276</v>
      </c>
      <c r="C9" s="13">
        <f t="shared" ca="1" si="2"/>
        <v>0.18000000000000002</v>
      </c>
      <c r="D9" s="64">
        <v>2</v>
      </c>
      <c r="E9" s="59">
        <f>H9*4/I9</f>
        <v>4</v>
      </c>
      <c r="F9" s="65">
        <f t="shared" ca="1" si="1"/>
        <v>0.18000000000000002</v>
      </c>
      <c r="H9" s="138">
        <v>3</v>
      </c>
      <c r="I9" s="136">
        <v>3</v>
      </c>
    </row>
    <row r="10" spans="2:9">
      <c r="B10" s="63" t="s">
        <v>81</v>
      </c>
      <c r="C10" s="13">
        <f t="shared" ca="1" si="2"/>
        <v>0.45</v>
      </c>
      <c r="D10" s="64">
        <v>5</v>
      </c>
      <c r="E10" s="121">
        <v>2</v>
      </c>
      <c r="F10" s="65">
        <f t="shared" ca="1" si="1"/>
        <v>0.22500000000000001</v>
      </c>
    </row>
    <row r="11" spans="2:9">
      <c r="B11" s="63" t="s">
        <v>82</v>
      </c>
      <c r="C11" s="13">
        <f t="shared" ca="1" si="2"/>
        <v>0.9</v>
      </c>
      <c r="D11" s="64">
        <v>10</v>
      </c>
      <c r="E11" s="121">
        <v>0</v>
      </c>
      <c r="F11" s="65">
        <f t="shared" ca="1" si="1"/>
        <v>0</v>
      </c>
    </row>
    <row r="12" spans="2:9">
      <c r="B12" s="63" t="s">
        <v>83</v>
      </c>
      <c r="C12" s="13">
        <f t="shared" ca="1" si="2"/>
        <v>9.0000000000000011E-2</v>
      </c>
      <c r="D12" s="64">
        <v>1</v>
      </c>
      <c r="E12" s="121">
        <v>4</v>
      </c>
      <c r="F12" s="65">
        <f t="shared" ca="1" si="1"/>
        <v>9.0000000000000011E-2</v>
      </c>
    </row>
    <row r="13" spans="2:9">
      <c r="B13" s="63" t="s">
        <v>84</v>
      </c>
      <c r="C13" s="13">
        <f t="shared" ca="1" si="2"/>
        <v>0.18000000000000002</v>
      </c>
      <c r="D13" s="64">
        <v>2</v>
      </c>
      <c r="E13" s="121">
        <v>0</v>
      </c>
      <c r="F13" s="65">
        <f t="shared" ca="1" si="1"/>
        <v>0</v>
      </c>
    </row>
    <row r="14" spans="2:9">
      <c r="B14" s="63" t="s">
        <v>85</v>
      </c>
      <c r="C14" s="13">
        <f t="shared" ca="1" si="2"/>
        <v>0.27</v>
      </c>
      <c r="D14" s="64">
        <v>3</v>
      </c>
      <c r="E14" s="121">
        <v>0</v>
      </c>
      <c r="F14" s="65">
        <f t="shared" ca="1" si="1"/>
        <v>0</v>
      </c>
    </row>
    <row r="15" spans="2:9">
      <c r="B15" s="22" t="s">
        <v>281</v>
      </c>
      <c r="C15" s="13">
        <f t="shared" ca="1" si="2"/>
        <v>9.0000000000000011E-2</v>
      </c>
      <c r="D15" s="64">
        <v>1</v>
      </c>
      <c r="E15" s="121">
        <v>0</v>
      </c>
      <c r="F15" s="65">
        <f t="shared" ca="1" si="1"/>
        <v>0</v>
      </c>
    </row>
    <row r="16" spans="2:9">
      <c r="B16" s="22" t="s">
        <v>282</v>
      </c>
      <c r="C16" s="13">
        <f t="shared" ca="1" si="2"/>
        <v>9.0000000000000011E-2</v>
      </c>
      <c r="D16" s="64">
        <v>1</v>
      </c>
      <c r="E16" s="121">
        <v>0</v>
      </c>
      <c r="F16" s="65">
        <f t="shared" ca="1" si="1"/>
        <v>0</v>
      </c>
    </row>
    <row r="17" spans="2:6" ht="15.75" thickBot="1">
      <c r="B17" s="61" t="s">
        <v>33</v>
      </c>
      <c r="C17" s="62">
        <f ca="1">SUM(C6:C16)</f>
        <v>2.6999999999999997</v>
      </c>
      <c r="D17" s="62">
        <f>SUM(D6:D16)</f>
        <v>30</v>
      </c>
      <c r="E17" s="52"/>
      <c r="F17" s="62">
        <f ca="1">SUM(F6:F16)</f>
        <v>0.94500000000000006</v>
      </c>
    </row>
    <row r="18" spans="2:6" ht="15.75" thickTop="1"/>
    <row r="19" spans="2:6">
      <c r="B19" s="20" t="s">
        <v>75</v>
      </c>
      <c r="C19" s="216">
        <f>Master!$D$12</f>
        <v>0.1</v>
      </c>
      <c r="D19" s="228"/>
      <c r="E19" s="227"/>
      <c r="F19" s="17">
        <f ca="1">C19*F2</f>
        <v>0.30000000000000004</v>
      </c>
    </row>
    <row r="20" spans="2:6">
      <c r="B20" s="21" t="s">
        <v>222</v>
      </c>
      <c r="C20" s="21" t="s">
        <v>228</v>
      </c>
      <c r="D20" s="21" t="s">
        <v>9</v>
      </c>
      <c r="E20" s="21" t="s">
        <v>2</v>
      </c>
      <c r="F20" s="21" t="s">
        <v>11</v>
      </c>
    </row>
    <row r="21" spans="2:6" ht="15" customHeight="1">
      <c r="B21" s="67" t="s">
        <v>76</v>
      </c>
      <c r="C21" s="23">
        <f ca="1">D21/$D$26*$F$19</f>
        <v>6.0000000000000012E-2</v>
      </c>
      <c r="D21" s="24">
        <v>2</v>
      </c>
      <c r="E21" s="121">
        <v>4</v>
      </c>
      <c r="F21" s="25">
        <f ca="1">E21/4 * C21</f>
        <v>6.0000000000000012E-2</v>
      </c>
    </row>
    <row r="22" spans="2:6">
      <c r="B22" s="67" t="s">
        <v>77</v>
      </c>
      <c r="C22" s="23">
        <f t="shared" ref="C22:C25" ca="1" si="3">D22/$D$26*$F$19</f>
        <v>9.0000000000000011E-2</v>
      </c>
      <c r="D22" s="24">
        <v>3</v>
      </c>
      <c r="E22" s="121">
        <v>4</v>
      </c>
      <c r="F22" s="25">
        <f ca="1">E22/4 * C22</f>
        <v>9.0000000000000011E-2</v>
      </c>
    </row>
    <row r="23" spans="2:6">
      <c r="B23" s="68" t="s">
        <v>231</v>
      </c>
      <c r="C23" s="23">
        <f t="shared" ca="1" si="3"/>
        <v>3.0000000000000006E-2</v>
      </c>
      <c r="D23" s="24">
        <v>1</v>
      </c>
      <c r="E23" s="121">
        <v>4</v>
      </c>
      <c r="F23" s="25">
        <f ca="1">E23/4 * C23</f>
        <v>3.0000000000000006E-2</v>
      </c>
    </row>
    <row r="24" spans="2:6">
      <c r="B24" s="68" t="s">
        <v>232</v>
      </c>
      <c r="C24" s="23">
        <f t="shared" ca="1" si="3"/>
        <v>3.0000000000000006E-2</v>
      </c>
      <c r="D24" s="24">
        <v>1</v>
      </c>
      <c r="E24" s="121">
        <v>4</v>
      </c>
      <c r="F24" s="25">
        <f ca="1">E24/4 * C24</f>
        <v>3.0000000000000006E-2</v>
      </c>
    </row>
    <row r="25" spans="2:6">
      <c r="B25" s="67" t="s">
        <v>78</v>
      </c>
      <c r="C25" s="23">
        <f t="shared" ca="1" si="3"/>
        <v>9.0000000000000011E-2</v>
      </c>
      <c r="D25" s="24">
        <v>3</v>
      </c>
      <c r="E25" s="121">
        <v>4</v>
      </c>
      <c r="F25" s="25">
        <f ca="1">E25/4 * C25</f>
        <v>9.0000000000000011E-2</v>
      </c>
    </row>
    <row r="26" spans="2:6" ht="15.75" customHeight="1" thickBot="1">
      <c r="B26" s="33" t="s">
        <v>33</v>
      </c>
      <c r="C26" s="34">
        <f ca="1">SUM(C21:C25)</f>
        <v>0.30000000000000004</v>
      </c>
      <c r="D26" s="34">
        <f>SUM(D21:D25)</f>
        <v>10</v>
      </c>
      <c r="E26" s="35"/>
      <c r="F26" s="34">
        <f ca="1">SUM(F21:F25)</f>
        <v>0.30000000000000004</v>
      </c>
    </row>
    <row r="27" spans="2:6" ht="15.75" customHeight="1" thickTop="1"/>
    <row r="28" spans="2:6" ht="15.75" customHeight="1" thickBot="1">
      <c r="B28" s="238" t="s">
        <v>219</v>
      </c>
      <c r="C28" s="238"/>
      <c r="D28" s="238"/>
      <c r="E28" s="238"/>
      <c r="F28" s="107">
        <f ca="1">SUM(F17,F26)</f>
        <v>1.2450000000000001</v>
      </c>
    </row>
    <row r="29" spans="2:6" ht="15.75" customHeight="1" thickTop="1"/>
    <row r="30" spans="2:6" ht="15.75" customHeight="1"/>
    <row r="31" spans="2:6" ht="15.75" customHeight="1"/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4">
    <mergeCell ref="C19:E19"/>
    <mergeCell ref="B28:E28"/>
    <mergeCell ref="B2:E2"/>
    <mergeCell ref="C4:E4"/>
  </mergeCells>
  <dataValidations count="1">
    <dataValidation type="decimal" allowBlank="1" showErrorMessage="1" sqref="E6:E16 E21:E25" xr:uid="{00000000-0002-0000-0300-000000000000}">
      <formula1>0</formula1>
      <formula2>4</formula2>
    </dataValidation>
  </dataValidations>
  <pageMargins left="0.7" right="0.7" top="0.75" bottom="0.75" header="0" footer="0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A6DB-53D0-4259-89CA-6165C7D29EC8}">
  <sheetPr>
    <tabColor rgb="FFC00000"/>
  </sheetPr>
  <dimension ref="B2:O1000"/>
  <sheetViews>
    <sheetView topLeftCell="A11" zoomScale="135" zoomScaleNormal="120" workbookViewId="0">
      <selection activeCell="H7" sqref="H7"/>
    </sheetView>
  </sheetViews>
  <sheetFormatPr defaultColWidth="14.42578125" defaultRowHeight="15" customHeight="1"/>
  <cols>
    <col min="1" max="1" width="11.42578125" style="5" customWidth="1"/>
    <col min="2" max="2" width="37.42578125" style="5" bestFit="1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7" width="11.42578125" style="5" customWidth="1"/>
    <col min="8" max="8" width="11.7109375" style="5" bestFit="1" customWidth="1"/>
    <col min="9" max="9" width="11.42578125" style="5" customWidth="1"/>
    <col min="10" max="10" width="30.28515625" style="5" bestFit="1" customWidth="1"/>
    <col min="11" max="26" width="11.42578125" style="5" customWidth="1"/>
    <col min="27" max="16384" width="14.42578125" style="5"/>
  </cols>
  <sheetData>
    <row r="2" spans="2:15">
      <c r="B2" s="229" t="str" cm="1">
        <f t="array" aca="1" ref="B2" ca="1">RIGHT(CELL("filename", A1), LEN(CELL("filename", A1)) - FIND("]", CELL("filename", A1)))</f>
        <v>Reset Password Page</v>
      </c>
      <c r="C2" s="230"/>
      <c r="D2" s="230"/>
      <c r="E2" s="231"/>
      <c r="F2" s="97">
        <f ca="1">VLOOKUP(B2,Master!B16:C38,2,FALSE)</f>
        <v>3</v>
      </c>
    </row>
    <row r="3" spans="2:15">
      <c r="O3" s="15"/>
    </row>
    <row r="4" spans="2:15">
      <c r="B4" s="20" t="s">
        <v>80</v>
      </c>
      <c r="C4" s="216">
        <f>Master!$D$11</f>
        <v>0.9</v>
      </c>
      <c r="D4" s="228"/>
      <c r="E4" s="227"/>
      <c r="F4" s="17">
        <f ca="1">C4*F2</f>
        <v>2.7</v>
      </c>
    </row>
    <row r="5" spans="2:15">
      <c r="B5" s="60" t="s">
        <v>222</v>
      </c>
      <c r="C5" s="60" t="s">
        <v>228</v>
      </c>
      <c r="D5" s="116" t="s">
        <v>9</v>
      </c>
      <c r="E5" s="140" t="s">
        <v>2</v>
      </c>
      <c r="F5" s="139" t="s">
        <v>11</v>
      </c>
      <c r="H5" s="134" t="s">
        <v>322</v>
      </c>
      <c r="I5" s="134" t="s">
        <v>96</v>
      </c>
    </row>
    <row r="6" spans="2:15">
      <c r="B6" s="55" t="s">
        <v>275</v>
      </c>
      <c r="C6" s="13">
        <f t="shared" ref="C6:C19" ca="1" si="0">D6/$D$20*$F$4</f>
        <v>5.4000000000000006E-2</v>
      </c>
      <c r="D6" s="56">
        <v>1</v>
      </c>
      <c r="E6" s="3">
        <f>H6*4/I6</f>
        <v>4</v>
      </c>
      <c r="F6" s="65">
        <f t="shared" ref="F6:F19" ca="1" si="1">E6/4*C6</f>
        <v>5.4000000000000006E-2</v>
      </c>
      <c r="H6" s="138">
        <v>4</v>
      </c>
      <c r="I6" s="136">
        <v>4</v>
      </c>
    </row>
    <row r="7" spans="2:15">
      <c r="B7" s="55" t="s">
        <v>276</v>
      </c>
      <c r="C7" s="13">
        <f t="shared" ca="1" si="0"/>
        <v>0.10800000000000001</v>
      </c>
      <c r="D7" s="56">
        <v>2</v>
      </c>
      <c r="E7" s="3">
        <f>H7*4/I7</f>
        <v>4</v>
      </c>
      <c r="F7" s="65">
        <f t="shared" ca="1" si="1"/>
        <v>0.10800000000000001</v>
      </c>
      <c r="H7" s="138">
        <v>5</v>
      </c>
      <c r="I7" s="136">
        <v>5</v>
      </c>
    </row>
    <row r="8" spans="2:15">
      <c r="B8" s="55" t="s">
        <v>283</v>
      </c>
      <c r="C8" s="13">
        <f t="shared" ca="1" si="0"/>
        <v>0.16200000000000001</v>
      </c>
      <c r="D8" s="56">
        <v>3</v>
      </c>
      <c r="E8" s="122">
        <v>4</v>
      </c>
      <c r="F8" s="65">
        <f t="shared" ca="1" si="1"/>
        <v>0.16200000000000001</v>
      </c>
    </row>
    <row r="9" spans="2:15">
      <c r="B9" s="63" t="s">
        <v>279</v>
      </c>
      <c r="C9" s="13">
        <f t="shared" ca="1" si="0"/>
        <v>0.16200000000000001</v>
      </c>
      <c r="D9" s="56">
        <v>3</v>
      </c>
      <c r="E9" s="122">
        <v>4</v>
      </c>
      <c r="F9" s="65">
        <f t="shared" ca="1" si="1"/>
        <v>0.16200000000000001</v>
      </c>
    </row>
    <row r="10" spans="2:15">
      <c r="B10" s="55" t="s">
        <v>86</v>
      </c>
      <c r="C10" s="13">
        <f t="shared" ca="1" si="0"/>
        <v>0.54</v>
      </c>
      <c r="D10" s="56">
        <v>10</v>
      </c>
      <c r="E10" s="122">
        <v>4</v>
      </c>
      <c r="F10" s="65">
        <f t="shared" ca="1" si="1"/>
        <v>0.54</v>
      </c>
    </row>
    <row r="11" spans="2:15">
      <c r="B11" s="55" t="s">
        <v>87</v>
      </c>
      <c r="C11" s="13">
        <f t="shared" ca="1" si="0"/>
        <v>0.16200000000000001</v>
      </c>
      <c r="D11" s="56">
        <v>3</v>
      </c>
      <c r="E11" s="122">
        <v>4</v>
      </c>
      <c r="F11" s="65">
        <f t="shared" ca="1" si="1"/>
        <v>0.16200000000000001</v>
      </c>
    </row>
    <row r="12" spans="2:15">
      <c r="B12" s="63" t="s">
        <v>280</v>
      </c>
      <c r="C12" s="13">
        <f t="shared" ca="1" si="0"/>
        <v>0.27</v>
      </c>
      <c r="D12" s="56">
        <v>5</v>
      </c>
      <c r="E12" s="122">
        <v>4</v>
      </c>
      <c r="F12" s="65">
        <f t="shared" ca="1" si="1"/>
        <v>0.27</v>
      </c>
    </row>
    <row r="13" spans="2:15">
      <c r="B13" s="55" t="s">
        <v>89</v>
      </c>
      <c r="C13" s="13">
        <f t="shared" ca="1" si="0"/>
        <v>0.54</v>
      </c>
      <c r="D13" s="58">
        <v>10</v>
      </c>
      <c r="E13" s="122">
        <v>0</v>
      </c>
      <c r="F13" s="65">
        <f t="shared" ca="1" si="1"/>
        <v>0</v>
      </c>
    </row>
    <row r="14" spans="2:15">
      <c r="B14" s="55" t="s">
        <v>90</v>
      </c>
      <c r="C14" s="13">
        <f t="shared" ca="1" si="0"/>
        <v>0.21600000000000003</v>
      </c>
      <c r="D14" s="64">
        <v>4</v>
      </c>
      <c r="E14" s="122">
        <v>2</v>
      </c>
      <c r="F14" s="65">
        <f t="shared" ca="1" si="1"/>
        <v>0.10800000000000001</v>
      </c>
    </row>
    <row r="15" spans="2:15">
      <c r="B15" s="55" t="s">
        <v>83</v>
      </c>
      <c r="C15" s="13">
        <f t="shared" ca="1" si="0"/>
        <v>5.4000000000000006E-2</v>
      </c>
      <c r="D15" s="64">
        <v>1</v>
      </c>
      <c r="E15" s="122">
        <v>4</v>
      </c>
      <c r="F15" s="65">
        <f t="shared" ca="1" si="1"/>
        <v>5.4000000000000006E-2</v>
      </c>
    </row>
    <row r="16" spans="2:15">
      <c r="B16" s="55" t="s">
        <v>85</v>
      </c>
      <c r="C16" s="13">
        <f t="shared" ca="1" si="0"/>
        <v>0.16200000000000001</v>
      </c>
      <c r="D16" s="64">
        <v>3</v>
      </c>
      <c r="E16" s="122">
        <v>0</v>
      </c>
      <c r="F16" s="65">
        <f t="shared" ca="1" si="1"/>
        <v>0</v>
      </c>
    </row>
    <row r="17" spans="2:6">
      <c r="B17" s="141" t="s">
        <v>84</v>
      </c>
      <c r="C17" s="77">
        <f t="shared" ca="1" si="0"/>
        <v>0.16200000000000001</v>
      </c>
      <c r="D17" s="142">
        <v>3</v>
      </c>
      <c r="E17" s="122">
        <v>0</v>
      </c>
      <c r="F17" s="79">
        <f t="shared" ca="1" si="1"/>
        <v>0</v>
      </c>
    </row>
    <row r="18" spans="2:6">
      <c r="B18" s="22" t="s">
        <v>281</v>
      </c>
      <c r="C18" s="13">
        <f t="shared" ca="1" si="0"/>
        <v>5.4000000000000006E-2</v>
      </c>
      <c r="D18" s="64">
        <v>1</v>
      </c>
      <c r="E18" s="122">
        <v>0</v>
      </c>
      <c r="F18" s="65">
        <f t="shared" ca="1" si="1"/>
        <v>0</v>
      </c>
    </row>
    <row r="19" spans="2:6">
      <c r="B19" s="22" t="s">
        <v>282</v>
      </c>
      <c r="C19" s="13">
        <f t="shared" ca="1" si="0"/>
        <v>5.4000000000000006E-2</v>
      </c>
      <c r="D19" s="64">
        <v>1</v>
      </c>
      <c r="E19" s="122">
        <v>0</v>
      </c>
      <c r="F19" s="65">
        <f t="shared" ca="1" si="1"/>
        <v>0</v>
      </c>
    </row>
    <row r="20" spans="2:6" ht="15.75" thickBot="1">
      <c r="B20" s="61" t="s">
        <v>33</v>
      </c>
      <c r="C20" s="62">
        <f ca="1">SUM(C6:C19)</f>
        <v>2.6999999999999997</v>
      </c>
      <c r="D20" s="62">
        <f>SUM(D6:D19)</f>
        <v>50</v>
      </c>
      <c r="E20" s="52"/>
      <c r="F20" s="62">
        <f ca="1">SUM(F6:F19)</f>
        <v>1.6200000000000003</v>
      </c>
    </row>
    <row r="21" spans="2:6" ht="15.75" thickTop="1"/>
    <row r="22" spans="2:6">
      <c r="B22" s="20" t="s">
        <v>75</v>
      </c>
      <c r="C22" s="216">
        <f>Master!$D$12</f>
        <v>0.1</v>
      </c>
      <c r="D22" s="217"/>
      <c r="E22" s="218"/>
      <c r="F22" s="17">
        <f ca="1">C22*F2</f>
        <v>0.30000000000000004</v>
      </c>
    </row>
    <row r="23" spans="2:6">
      <c r="B23" s="21" t="s">
        <v>222</v>
      </c>
      <c r="C23" s="21" t="s">
        <v>228</v>
      </c>
      <c r="D23" s="21" t="s">
        <v>9</v>
      </c>
      <c r="E23" s="21" t="s">
        <v>2</v>
      </c>
      <c r="F23" s="60" t="s">
        <v>11</v>
      </c>
    </row>
    <row r="24" spans="2:6">
      <c r="B24" s="67" t="s">
        <v>76</v>
      </c>
      <c r="C24" s="23">
        <f ca="1">D24/$D$29*$F$22</f>
        <v>6.0000000000000012E-2</v>
      </c>
      <c r="D24" s="24">
        <v>2</v>
      </c>
      <c r="E24" s="122">
        <v>4</v>
      </c>
      <c r="F24" s="25">
        <f ca="1">E24/4 * C24</f>
        <v>6.0000000000000012E-2</v>
      </c>
    </row>
    <row r="25" spans="2:6" ht="15.75" customHeight="1">
      <c r="B25" s="67" t="s">
        <v>77</v>
      </c>
      <c r="C25" s="23">
        <f ca="1">D25/$D$29*$F$22</f>
        <v>9.0000000000000011E-2</v>
      </c>
      <c r="D25" s="24">
        <v>3</v>
      </c>
      <c r="E25" s="122">
        <v>4</v>
      </c>
      <c r="F25" s="25">
        <f ca="1">E25/4 * C25</f>
        <v>9.0000000000000011E-2</v>
      </c>
    </row>
    <row r="26" spans="2:6" ht="15.75" customHeight="1">
      <c r="B26" s="68" t="s">
        <v>231</v>
      </c>
      <c r="C26" s="23">
        <f ca="1">D26/$D$29*$F$22</f>
        <v>3.0000000000000006E-2</v>
      </c>
      <c r="D26" s="24">
        <v>1</v>
      </c>
      <c r="E26" s="122">
        <v>4</v>
      </c>
      <c r="F26" s="25">
        <f ca="1">E26/4 * C26</f>
        <v>3.0000000000000006E-2</v>
      </c>
    </row>
    <row r="27" spans="2:6" ht="15.75" customHeight="1">
      <c r="B27" s="68" t="s">
        <v>232</v>
      </c>
      <c r="C27" s="23">
        <f ca="1">D27/$D$29*$F$22</f>
        <v>3.0000000000000006E-2</v>
      </c>
      <c r="D27" s="24">
        <v>1</v>
      </c>
      <c r="E27" s="122">
        <v>4</v>
      </c>
      <c r="F27" s="25">
        <f ca="1">E27/4 * C27</f>
        <v>3.0000000000000006E-2</v>
      </c>
    </row>
    <row r="28" spans="2:6" ht="15.75" customHeight="1">
      <c r="B28" s="67" t="s">
        <v>78</v>
      </c>
      <c r="C28" s="23">
        <f ca="1">D28/$D$29*$F$22</f>
        <v>9.0000000000000011E-2</v>
      </c>
      <c r="D28" s="24">
        <v>3</v>
      </c>
      <c r="E28" s="122">
        <v>4</v>
      </c>
      <c r="F28" s="25">
        <f ca="1">E28/4 * C28</f>
        <v>9.0000000000000011E-2</v>
      </c>
    </row>
    <row r="29" spans="2:6" ht="15.75" customHeight="1" thickBot="1">
      <c r="B29" s="33" t="s">
        <v>33</v>
      </c>
      <c r="C29" s="34">
        <f ca="1">SUM(C24:C28)</f>
        <v>0.30000000000000004</v>
      </c>
      <c r="D29" s="34">
        <f>SUM(D24:D28)</f>
        <v>10</v>
      </c>
      <c r="E29" s="35"/>
      <c r="F29" s="34">
        <f ca="1">SUM(F24:F28)</f>
        <v>0.30000000000000004</v>
      </c>
    </row>
    <row r="30" spans="2:6" ht="15.75" customHeight="1" thickTop="1"/>
    <row r="31" spans="2:6" ht="15.75" customHeight="1" thickBot="1">
      <c r="B31" s="243" t="s">
        <v>219</v>
      </c>
      <c r="C31" s="244"/>
      <c r="D31" s="244"/>
      <c r="E31" s="245"/>
      <c r="F31" s="70">
        <f ca="1">SUM(F20,F29)</f>
        <v>1.9200000000000004</v>
      </c>
    </row>
    <row r="32" spans="2:6" ht="15.75" customHeight="1" thickTop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1:E31"/>
    <mergeCell ref="C4:E4"/>
    <mergeCell ref="C22:E22"/>
    <mergeCell ref="B2:E2"/>
  </mergeCells>
  <dataValidations count="1">
    <dataValidation type="decimal" allowBlank="1" showErrorMessage="1" sqref="E6:E19 E24:E28" xr:uid="{080A5991-1F89-44CF-A4F2-66FB6F404B7C}">
      <formula1>0</formula1>
      <formula2>4</formula2>
    </dataValidation>
  </dataValidations>
  <pageMargins left="0.7" right="0.7" top="0.75" bottom="0.75" header="0" footer="0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B1:H995"/>
  <sheetViews>
    <sheetView zoomScale="147" zoomScaleNormal="120" workbookViewId="0">
      <selection activeCell="C23" sqref="C23"/>
    </sheetView>
  </sheetViews>
  <sheetFormatPr defaultColWidth="14.42578125" defaultRowHeight="15" customHeight="1"/>
  <cols>
    <col min="1" max="1" width="11.42578125" style="71" customWidth="1"/>
    <col min="2" max="2" width="47.42578125" style="71" bestFit="1" customWidth="1"/>
    <col min="3" max="3" width="5.85546875" style="71" customWidth="1"/>
    <col min="4" max="4" width="7.42578125" style="71" customWidth="1"/>
    <col min="5" max="5" width="5.85546875" style="71" customWidth="1"/>
    <col min="6" max="6" width="19.140625" style="71" customWidth="1"/>
    <col min="7" max="7" width="13.42578125" style="71" bestFit="1" customWidth="1"/>
    <col min="8" max="8" width="38.7109375" style="71" bestFit="1" customWidth="1"/>
    <col min="9" max="9" width="11.42578125" style="71" customWidth="1"/>
    <col min="10" max="10" width="37.42578125" style="71" bestFit="1" customWidth="1"/>
    <col min="11" max="11" width="6.7109375" style="71" bestFit="1" customWidth="1"/>
    <col min="12" max="12" width="7.42578125" style="71" customWidth="1"/>
    <col min="13" max="13" width="5.85546875" style="71" customWidth="1"/>
    <col min="14" max="14" width="14" style="71" bestFit="1" customWidth="1"/>
    <col min="15" max="26" width="11.42578125" style="71" customWidth="1"/>
    <col min="27" max="16384" width="14.42578125" style="71"/>
  </cols>
  <sheetData>
    <row r="1" spans="2:8"/>
    <row r="2" spans="2:8">
      <c r="B2" s="229" t="str" cm="1">
        <f t="array" aca="1" ref="B2" ca="1">RIGHT(CELL("filename", A1), LEN(CELL("filename", A1)) - FIND("]", CELL("filename", A1)))</f>
        <v>For You Page</v>
      </c>
      <c r="C2" s="230"/>
      <c r="D2" s="230"/>
      <c r="E2" s="231"/>
      <c r="F2" s="97">
        <f ca="1">VLOOKUP(B2,Master!B16:C38,2,FALSE)</f>
        <v>5</v>
      </c>
      <c r="H2" s="72"/>
    </row>
    <row r="3" spans="2:8"/>
    <row r="4" spans="2:8">
      <c r="B4" s="20" t="s">
        <v>80</v>
      </c>
      <c r="C4" s="216">
        <f>Master!$D$11</f>
        <v>0.9</v>
      </c>
      <c r="D4" s="228"/>
      <c r="E4" s="227"/>
      <c r="F4" s="17">
        <f ca="1">C4*F2</f>
        <v>4.5</v>
      </c>
    </row>
    <row r="5" spans="2:8">
      <c r="B5" s="60" t="s">
        <v>222</v>
      </c>
      <c r="C5" s="60" t="s">
        <v>228</v>
      </c>
      <c r="D5" s="60" t="s">
        <v>9</v>
      </c>
      <c r="E5" s="60" t="s">
        <v>2</v>
      </c>
      <c r="F5" s="60" t="s">
        <v>11</v>
      </c>
    </row>
    <row r="6" spans="2:8">
      <c r="B6" s="55" t="s">
        <v>91</v>
      </c>
      <c r="C6" s="13">
        <f t="shared" ref="C6:C13" ca="1" si="0">D6/$D$14*$F$4</f>
        <v>7.1428571428571425E-2</v>
      </c>
      <c r="D6" s="56">
        <v>0.5</v>
      </c>
      <c r="E6" s="122">
        <v>4</v>
      </c>
      <c r="F6" s="65">
        <f t="shared" ref="F6:F13" ca="1" si="1">E6/4*C6</f>
        <v>7.1428571428571425E-2</v>
      </c>
    </row>
    <row r="7" spans="2:8">
      <c r="B7" s="55" t="s">
        <v>94</v>
      </c>
      <c r="C7" s="13">
        <f t="shared" ca="1" si="0"/>
        <v>0.5714285714285714</v>
      </c>
      <c r="D7" s="56">
        <v>4</v>
      </c>
      <c r="E7" s="122">
        <v>0</v>
      </c>
      <c r="F7" s="65">
        <f t="shared" ca="1" si="1"/>
        <v>0</v>
      </c>
    </row>
    <row r="8" spans="2:8">
      <c r="B8" s="55" t="s">
        <v>316</v>
      </c>
      <c r="C8" s="13">
        <f t="shared" ca="1" si="0"/>
        <v>0.8571428571428571</v>
      </c>
      <c r="D8" s="56">
        <v>6</v>
      </c>
      <c r="E8" s="122">
        <v>3</v>
      </c>
      <c r="F8" s="65">
        <f t="shared" ca="1" si="1"/>
        <v>0.64285714285714279</v>
      </c>
    </row>
    <row r="9" spans="2:8">
      <c r="B9" s="55" t="s">
        <v>324</v>
      </c>
      <c r="C9" s="13">
        <f t="shared" ca="1" si="0"/>
        <v>0.8571428571428571</v>
      </c>
      <c r="D9" s="56">
        <v>6</v>
      </c>
      <c r="E9" s="122">
        <v>3</v>
      </c>
      <c r="F9" s="65">
        <f t="shared" ca="1" si="1"/>
        <v>0.64285714285714279</v>
      </c>
    </row>
    <row r="10" spans="2:8">
      <c r="B10" s="55" t="s">
        <v>321</v>
      </c>
      <c r="C10" s="13">
        <f t="shared" ca="1" si="0"/>
        <v>0.8571428571428571</v>
      </c>
      <c r="D10" s="56">
        <v>6</v>
      </c>
      <c r="E10" s="122">
        <v>3</v>
      </c>
      <c r="F10" s="65">
        <f ca="1">E10/4*C10</f>
        <v>0.64285714285714279</v>
      </c>
    </row>
    <row r="11" spans="2:8">
      <c r="B11" s="55" t="s">
        <v>320</v>
      </c>
      <c r="C11" s="13">
        <f t="shared" ca="1" si="0"/>
        <v>0.8571428571428571</v>
      </c>
      <c r="D11" s="56">
        <v>6</v>
      </c>
      <c r="E11" s="122">
        <v>3</v>
      </c>
      <c r="F11" s="65">
        <f t="shared" ca="1" si="1"/>
        <v>0.64285714285714279</v>
      </c>
    </row>
    <row r="12" spans="2:8">
      <c r="B12" s="22" t="s">
        <v>281</v>
      </c>
      <c r="C12" s="13">
        <f t="shared" ca="1" si="0"/>
        <v>0.21428571428571427</v>
      </c>
      <c r="D12" s="64">
        <v>1.5</v>
      </c>
      <c r="E12" s="122">
        <v>0</v>
      </c>
      <c r="F12" s="65">
        <f t="shared" ca="1" si="1"/>
        <v>0</v>
      </c>
    </row>
    <row r="13" spans="2:8">
      <c r="B13" s="22" t="s">
        <v>282</v>
      </c>
      <c r="C13" s="13">
        <f t="shared" ca="1" si="0"/>
        <v>0.21428571428571427</v>
      </c>
      <c r="D13" s="64">
        <v>1.5</v>
      </c>
      <c r="E13" s="122">
        <v>0</v>
      </c>
      <c r="F13" s="65">
        <f t="shared" ca="1" si="1"/>
        <v>0</v>
      </c>
    </row>
    <row r="14" spans="2:8" ht="15.75" thickBot="1">
      <c r="B14" s="61" t="s">
        <v>33</v>
      </c>
      <c r="C14" s="62">
        <f ca="1">SUM(C6:C13)</f>
        <v>4.5</v>
      </c>
      <c r="D14" s="62">
        <f>SUM(D6:D13)</f>
        <v>31.5</v>
      </c>
      <c r="E14" s="52"/>
      <c r="F14" s="62">
        <f ca="1">SUM(F6:F13)</f>
        <v>2.6428571428571423</v>
      </c>
    </row>
    <row r="15" spans="2:8" ht="15.75" thickTop="1"/>
    <row r="16" spans="2:8">
      <c r="B16" s="20" t="s">
        <v>75</v>
      </c>
      <c r="C16" s="216">
        <f>Master!$D$12</f>
        <v>0.1</v>
      </c>
      <c r="D16" s="217"/>
      <c r="E16" s="218"/>
      <c r="F16" s="17">
        <f ca="1">C16*F2</f>
        <v>0.5</v>
      </c>
    </row>
    <row r="17" spans="2:6">
      <c r="B17" s="21" t="s">
        <v>222</v>
      </c>
      <c r="C17" s="21" t="s">
        <v>228</v>
      </c>
      <c r="D17" s="21" t="s">
        <v>9</v>
      </c>
      <c r="E17" s="21" t="s">
        <v>2</v>
      </c>
      <c r="F17" s="60" t="s">
        <v>11</v>
      </c>
    </row>
    <row r="18" spans="2:6">
      <c r="B18" s="67" t="s">
        <v>76</v>
      </c>
      <c r="C18" s="23">
        <f ca="1">D18/$D$23*$F$16</f>
        <v>0.1</v>
      </c>
      <c r="D18" s="24">
        <v>2</v>
      </c>
      <c r="E18" s="122">
        <v>4</v>
      </c>
      <c r="F18" s="25">
        <f ca="1">E18/4 * C18</f>
        <v>0.1</v>
      </c>
    </row>
    <row r="19" spans="2:6" ht="15.75" customHeight="1">
      <c r="B19" s="67" t="s">
        <v>77</v>
      </c>
      <c r="C19" s="23">
        <f ca="1">D19/$D$23*$F$16</f>
        <v>0.15</v>
      </c>
      <c r="D19" s="24">
        <v>3</v>
      </c>
      <c r="E19" s="122">
        <v>4</v>
      </c>
      <c r="F19" s="25">
        <f ca="1">E19/4 * C19</f>
        <v>0.15</v>
      </c>
    </row>
    <row r="20" spans="2:6" ht="15.75" customHeight="1">
      <c r="B20" s="55" t="s">
        <v>92</v>
      </c>
      <c r="C20" s="23">
        <f ca="1">D20/$D$23*$F$16</f>
        <v>0.15</v>
      </c>
      <c r="D20" s="24">
        <v>3</v>
      </c>
      <c r="E20" s="122">
        <v>4</v>
      </c>
      <c r="F20" s="25">
        <f ca="1">E20/4 * C20</f>
        <v>0.15</v>
      </c>
    </row>
    <row r="21" spans="2:6" ht="15.75" customHeight="1">
      <c r="B21" s="68" t="s">
        <v>231</v>
      </c>
      <c r="C21" s="23">
        <f ca="1">D21/$D$23*$F$16</f>
        <v>0.05</v>
      </c>
      <c r="D21" s="24">
        <v>1</v>
      </c>
      <c r="E21" s="122">
        <v>4</v>
      </c>
      <c r="F21" s="25">
        <f ca="1">E21/4 * C21</f>
        <v>0.05</v>
      </c>
    </row>
    <row r="22" spans="2:6" ht="15.75" customHeight="1">
      <c r="B22" s="68" t="s">
        <v>232</v>
      </c>
      <c r="C22" s="23">
        <f ca="1">D22/$D$23*$F$16</f>
        <v>0.05</v>
      </c>
      <c r="D22" s="24">
        <v>1</v>
      </c>
      <c r="E22" s="122">
        <v>4</v>
      </c>
      <c r="F22" s="25">
        <f ca="1">E22/4 * C22</f>
        <v>0.05</v>
      </c>
    </row>
    <row r="23" spans="2:6" ht="15.75" thickBot="1">
      <c r="B23" s="33" t="s">
        <v>33</v>
      </c>
      <c r="C23" s="34">
        <f ca="1">SUM(C18:C22)</f>
        <v>0.5</v>
      </c>
      <c r="D23" s="34">
        <f>SUM(D18:D22)</f>
        <v>10</v>
      </c>
      <c r="E23" s="35"/>
      <c r="F23" s="34">
        <f ca="1">SUM(F18:F22)</f>
        <v>0.5</v>
      </c>
    </row>
    <row r="24" spans="2:6" ht="15.75" customHeight="1" thickTop="1"/>
    <row r="25" spans="2:6" ht="15.75" customHeight="1" thickBot="1">
      <c r="B25" s="238" t="s">
        <v>219</v>
      </c>
      <c r="C25" s="238"/>
      <c r="D25" s="238"/>
      <c r="E25" s="238"/>
      <c r="F25" s="107">
        <f ca="1">SUM(F14,F23)</f>
        <v>3.1428571428571423</v>
      </c>
    </row>
    <row r="26" spans="2:6" ht="15.75" customHeight="1" thickTop="1"/>
    <row r="27" spans="2:6" ht="15.75" customHeight="1"/>
    <row r="28" spans="2:6" ht="15.75" customHeight="1"/>
    <row r="29" spans="2:6" ht="15.75" customHeight="1"/>
    <row r="30" spans="2:6" ht="15.75" customHeight="1"/>
    <row r="31" spans="2:6" ht="15.75" customHeight="1"/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4">
    <mergeCell ref="B25:E25"/>
    <mergeCell ref="C4:E4"/>
    <mergeCell ref="C16:E16"/>
    <mergeCell ref="B2:E2"/>
  </mergeCells>
  <dataValidations count="1">
    <dataValidation type="decimal" allowBlank="1" showErrorMessage="1" sqref="E6:E13 E18:E22" xr:uid="{00000000-0002-0000-0800-000000000000}">
      <formula1>0</formula1>
      <formula2>4</formula2>
    </dataValidation>
  </dataValidations>
  <pageMargins left="0.7" right="0.7" top="0.75" bottom="0.75" header="0" footer="0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1E17-980D-472A-A828-C8DB9559DF7F}">
  <sheetPr>
    <tabColor rgb="FFC00000"/>
  </sheetPr>
  <dimension ref="A1:J1001"/>
  <sheetViews>
    <sheetView zoomScale="120" zoomScaleNormal="120" workbookViewId="0">
      <selection activeCell="G28" sqref="G28"/>
    </sheetView>
  </sheetViews>
  <sheetFormatPr defaultColWidth="14.42578125" defaultRowHeight="15" customHeight="1"/>
  <cols>
    <col min="1" max="1" width="11.42578125" style="5" customWidth="1"/>
    <col min="2" max="2" width="39.7109375" style="5" bestFit="1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7" width="11.42578125" style="5" customWidth="1"/>
    <col min="8" max="9" width="16.28515625" style="5" customWidth="1"/>
    <col min="10" max="10" width="11.28515625" style="5" bestFit="1" customWidth="1"/>
    <col min="11" max="11" width="37.42578125" style="5" customWidth="1"/>
    <col min="12" max="14" width="6.7109375" style="5" customWidth="1"/>
    <col min="15" max="15" width="14" style="5" bestFit="1" customWidth="1"/>
    <col min="16" max="26" width="11.42578125" style="5" customWidth="1"/>
    <col min="27" max="16384" width="14.42578125" style="5"/>
  </cols>
  <sheetData>
    <row r="1" spans="1:10">
      <c r="A1" s="75"/>
    </row>
    <row r="2" spans="1:10">
      <c r="A2" s="75"/>
      <c r="B2" s="229" t="str" cm="1">
        <f t="array" aca="1" ref="B2" ca="1">RIGHT(CELL("filename", A1), LEN(CELL("filename", A1)) - FIND("]", CELL("filename", A1)))</f>
        <v>Following Page</v>
      </c>
      <c r="C2" s="230"/>
      <c r="D2" s="230"/>
      <c r="E2" s="231"/>
      <c r="F2" s="97">
        <f ca="1">VLOOKUP(B2,Master!B16:C38,2,FALSE)</f>
        <v>2</v>
      </c>
    </row>
    <row r="3" spans="1:10">
      <c r="A3" s="75"/>
    </row>
    <row r="4" spans="1:10">
      <c r="A4" s="75"/>
      <c r="B4" s="20" t="s">
        <v>80</v>
      </c>
      <c r="C4" s="216">
        <f>Master!$D$11</f>
        <v>0.9</v>
      </c>
      <c r="D4" s="228"/>
      <c r="E4" s="227"/>
      <c r="F4" s="17">
        <f ca="1">C4*F2</f>
        <v>1.8</v>
      </c>
    </row>
    <row r="5" spans="1:10">
      <c r="A5" s="75"/>
      <c r="B5" s="60" t="s">
        <v>222</v>
      </c>
      <c r="C5" s="60" t="s">
        <v>228</v>
      </c>
      <c r="D5" s="60" t="s">
        <v>9</v>
      </c>
      <c r="E5" s="60" t="s">
        <v>2</v>
      </c>
      <c r="F5" s="60" t="s">
        <v>11</v>
      </c>
    </row>
    <row r="6" spans="1:10">
      <c r="A6" s="75"/>
      <c r="B6" s="63" t="s">
        <v>91</v>
      </c>
      <c r="C6" s="13">
        <f t="shared" ref="C6:C15" ca="1" si="0">D6/$D$16*$F$4</f>
        <v>6.2068965517241378E-2</v>
      </c>
      <c r="D6" s="64">
        <v>1</v>
      </c>
      <c r="E6" s="121">
        <v>4</v>
      </c>
      <c r="F6" s="65">
        <f t="shared" ref="F6:F12" ca="1" si="1">E6/4*C6</f>
        <v>6.2068965517241378E-2</v>
      </c>
    </row>
    <row r="7" spans="1:10">
      <c r="A7" s="75"/>
      <c r="B7" s="63" t="s">
        <v>323</v>
      </c>
      <c r="C7" s="13">
        <f t="shared" ca="1" si="0"/>
        <v>0.12413793103448276</v>
      </c>
      <c r="D7" s="64">
        <v>2</v>
      </c>
      <c r="E7" s="123">
        <v>4</v>
      </c>
      <c r="F7" s="65">
        <f t="shared" ca="1" si="1"/>
        <v>0.12413793103448276</v>
      </c>
    </row>
    <row r="8" spans="1:10">
      <c r="A8" s="75"/>
      <c r="B8" s="63" t="s">
        <v>94</v>
      </c>
      <c r="C8" s="13">
        <f t="shared" ca="1" si="0"/>
        <v>0.24827586206896551</v>
      </c>
      <c r="D8" s="64">
        <v>4</v>
      </c>
      <c r="E8" s="121">
        <v>0</v>
      </c>
      <c r="F8" s="65">
        <f t="shared" ca="1" si="1"/>
        <v>0</v>
      </c>
      <c r="H8" s="134" t="s">
        <v>322</v>
      </c>
      <c r="I8" s="134" t="s">
        <v>95</v>
      </c>
      <c r="J8" s="134" t="s">
        <v>96</v>
      </c>
    </row>
    <row r="9" spans="1:10">
      <c r="A9" s="75"/>
      <c r="B9" s="157" t="s">
        <v>325</v>
      </c>
      <c r="C9" s="13">
        <f t="shared" ca="1" si="0"/>
        <v>0.24827586206896551</v>
      </c>
      <c r="D9" s="73">
        <v>4</v>
      </c>
      <c r="E9" s="74">
        <f>(H9/J9*4)-((1-I9)*(H9/J9*2))</f>
        <v>3.2</v>
      </c>
      <c r="F9" s="65">
        <f t="shared" ca="1" si="1"/>
        <v>0.19862068965517243</v>
      </c>
      <c r="H9" s="138">
        <v>8</v>
      </c>
      <c r="I9" s="138">
        <v>1</v>
      </c>
      <c r="J9" s="136">
        <v>10</v>
      </c>
    </row>
    <row r="10" spans="1:10">
      <c r="A10" s="75"/>
      <c r="B10" s="157" t="s">
        <v>328</v>
      </c>
      <c r="C10" s="13">
        <f t="shared" ca="1" si="0"/>
        <v>6.2068965517241378E-2</v>
      </c>
      <c r="D10" s="73">
        <v>1</v>
      </c>
      <c r="E10" s="124">
        <v>4</v>
      </c>
      <c r="F10" s="65">
        <f t="shared" ca="1" si="1"/>
        <v>6.2068965517241378E-2</v>
      </c>
    </row>
    <row r="11" spans="1:10">
      <c r="A11" s="75"/>
      <c r="B11" s="157" t="s">
        <v>326</v>
      </c>
      <c r="C11" s="13">
        <f t="shared" ca="1" si="0"/>
        <v>0.12413793103448276</v>
      </c>
      <c r="D11" s="73">
        <v>2</v>
      </c>
      <c r="E11" s="124">
        <v>0</v>
      </c>
      <c r="F11" s="65">
        <f t="shared" ca="1" si="1"/>
        <v>0</v>
      </c>
    </row>
    <row r="12" spans="1:10">
      <c r="A12" s="75"/>
      <c r="B12" s="157" t="s">
        <v>329</v>
      </c>
      <c r="C12" s="13">
        <f t="shared" ca="1" si="0"/>
        <v>0.24827586206896551</v>
      </c>
      <c r="D12" s="73">
        <v>4</v>
      </c>
      <c r="E12" s="124">
        <v>0</v>
      </c>
      <c r="F12" s="65">
        <f t="shared" ca="1" si="1"/>
        <v>0</v>
      </c>
    </row>
    <row r="13" spans="1:10">
      <c r="A13" s="75"/>
      <c r="B13" s="14" t="s">
        <v>327</v>
      </c>
      <c r="C13" s="13">
        <f t="shared" ca="1" si="0"/>
        <v>0.49655172413793103</v>
      </c>
      <c r="D13" s="73">
        <v>8</v>
      </c>
      <c r="E13" s="124">
        <v>4</v>
      </c>
      <c r="F13" s="65">
        <f ca="1">E13/4*C13</f>
        <v>0.49655172413793103</v>
      </c>
    </row>
    <row r="14" spans="1:10">
      <c r="A14" s="75"/>
      <c r="B14" s="22" t="s">
        <v>281</v>
      </c>
      <c r="C14" s="13">
        <f t="shared" ca="1" si="0"/>
        <v>9.3103448275862075E-2</v>
      </c>
      <c r="D14" s="64">
        <v>1.5</v>
      </c>
      <c r="E14" s="122">
        <v>0</v>
      </c>
      <c r="F14" s="65">
        <f t="shared" ref="F14:F15" ca="1" si="2">E14/4*C14</f>
        <v>0</v>
      </c>
    </row>
    <row r="15" spans="1:10">
      <c r="A15" s="75"/>
      <c r="B15" s="22" t="s">
        <v>282</v>
      </c>
      <c r="C15" s="13">
        <f t="shared" ca="1" si="0"/>
        <v>9.3103448275862075E-2</v>
      </c>
      <c r="D15" s="64">
        <v>1.5</v>
      </c>
      <c r="E15" s="122">
        <v>0</v>
      </c>
      <c r="F15" s="65">
        <f t="shared" ca="1" si="2"/>
        <v>0</v>
      </c>
    </row>
    <row r="16" spans="1:10" ht="15.75" thickBot="1">
      <c r="A16" s="75"/>
      <c r="B16" s="61" t="s">
        <v>33</v>
      </c>
      <c r="C16" s="62">
        <f ca="1">SUM(C6:C15)</f>
        <v>1.8000000000000003</v>
      </c>
      <c r="D16" s="62">
        <f>SUM(D6:D15)</f>
        <v>29</v>
      </c>
      <c r="E16" s="52"/>
      <c r="F16" s="62">
        <f ca="1">SUM(F6:F15)</f>
        <v>0.94344827586206903</v>
      </c>
    </row>
    <row r="17" spans="1:6" ht="15.75" thickTop="1">
      <c r="A17" s="75"/>
    </row>
    <row r="18" spans="1:6">
      <c r="A18" s="75"/>
      <c r="B18" s="20" t="s">
        <v>75</v>
      </c>
      <c r="C18" s="216">
        <f>Master!$D$12</f>
        <v>0.1</v>
      </c>
      <c r="D18" s="217"/>
      <c r="E18" s="218"/>
      <c r="F18" s="17">
        <f ca="1">C18*F2</f>
        <v>0.2</v>
      </c>
    </row>
    <row r="19" spans="1:6">
      <c r="A19" s="75"/>
      <c r="B19" s="21" t="s">
        <v>222</v>
      </c>
      <c r="C19" s="21" t="s">
        <v>228</v>
      </c>
      <c r="D19" s="21" t="s">
        <v>9</v>
      </c>
      <c r="E19" s="21" t="s">
        <v>2</v>
      </c>
      <c r="F19" s="60" t="s">
        <v>11</v>
      </c>
    </row>
    <row r="20" spans="1:6">
      <c r="A20" s="75"/>
      <c r="B20" s="67" t="s">
        <v>76</v>
      </c>
      <c r="C20" s="23">
        <f ca="1">D20/$D$25*$F$18</f>
        <v>4.0000000000000008E-2</v>
      </c>
      <c r="D20" s="24">
        <v>2</v>
      </c>
      <c r="E20" s="112">
        <v>3</v>
      </c>
      <c r="F20" s="25">
        <f ca="1">E20/4 * C20</f>
        <v>3.0000000000000006E-2</v>
      </c>
    </row>
    <row r="21" spans="1:6">
      <c r="A21" s="75"/>
      <c r="B21" s="67" t="s">
        <v>77</v>
      </c>
      <c r="C21" s="23">
        <f ca="1">D21/$D$25*$F$18</f>
        <v>0.06</v>
      </c>
      <c r="D21" s="24">
        <v>3</v>
      </c>
      <c r="E21" s="112">
        <v>3</v>
      </c>
      <c r="F21" s="25">
        <f ca="1">E21/4 * C21</f>
        <v>4.4999999999999998E-2</v>
      </c>
    </row>
    <row r="22" spans="1:6">
      <c r="A22" s="75"/>
      <c r="B22" s="55" t="s">
        <v>92</v>
      </c>
      <c r="C22" s="23">
        <f ca="1">D22/$D$25*$F$18</f>
        <v>0.06</v>
      </c>
      <c r="D22" s="24">
        <v>3</v>
      </c>
      <c r="E22" s="112">
        <v>3</v>
      </c>
      <c r="F22" s="25">
        <f ca="1">E22/4 * C22</f>
        <v>4.4999999999999998E-2</v>
      </c>
    </row>
    <row r="23" spans="1:6">
      <c r="A23" s="75"/>
      <c r="B23" s="68" t="s">
        <v>231</v>
      </c>
      <c r="C23" s="23">
        <f ca="1">D23/$D$25*$F$18</f>
        <v>2.0000000000000004E-2</v>
      </c>
      <c r="D23" s="24">
        <v>1</v>
      </c>
      <c r="E23" s="112">
        <v>3</v>
      </c>
      <c r="F23" s="25">
        <f ca="1">E23/4 * C23</f>
        <v>1.5000000000000003E-2</v>
      </c>
    </row>
    <row r="24" spans="1:6">
      <c r="A24" s="75"/>
      <c r="B24" s="68" t="s">
        <v>232</v>
      </c>
      <c r="C24" s="23">
        <f ca="1">D24/$D$25*$F$18</f>
        <v>2.0000000000000004E-2</v>
      </c>
      <c r="D24" s="24">
        <v>1</v>
      </c>
      <c r="E24" s="112">
        <v>3</v>
      </c>
      <c r="F24" s="25">
        <f ca="1">E24/4 * C24</f>
        <v>1.5000000000000003E-2</v>
      </c>
    </row>
    <row r="25" spans="1:6" ht="15.75" customHeight="1" thickBot="1">
      <c r="B25" s="33" t="s">
        <v>33</v>
      </c>
      <c r="C25" s="34">
        <f ca="1">SUM(C20:C24)</f>
        <v>0.2</v>
      </c>
      <c r="D25" s="34">
        <f>SUM(D20:D24)</f>
        <v>10</v>
      </c>
      <c r="E25" s="35"/>
      <c r="F25" s="34">
        <f ca="1">SUM(F20:F24)</f>
        <v>0.15000000000000002</v>
      </c>
    </row>
    <row r="26" spans="1:6" ht="15.75" customHeight="1" thickTop="1"/>
    <row r="27" spans="1:6" ht="15.75" customHeight="1" thickBot="1">
      <c r="B27" s="238" t="s">
        <v>219</v>
      </c>
      <c r="C27" s="238"/>
      <c r="D27" s="238"/>
      <c r="E27" s="238"/>
      <c r="F27" s="107">
        <f ca="1">SUM(F16,F25)</f>
        <v>1.0934482758620692</v>
      </c>
    </row>
    <row r="28" spans="1:6" ht="15.75" customHeight="1" thickTop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B27:E27"/>
    <mergeCell ref="C4:E4"/>
    <mergeCell ref="B2:E2"/>
    <mergeCell ref="C18:E18"/>
  </mergeCells>
  <dataValidations count="1">
    <dataValidation type="decimal" allowBlank="1" showErrorMessage="1" sqref="E20:E24 E6:E9 E14:E15" xr:uid="{75D0469A-C78B-41FD-8BD9-EDC93A7FE27B}">
      <formula1>0</formula1>
      <formula2>4</formula2>
    </dataValidation>
  </dataValidations>
  <pageMargins left="0.7" right="0.7" top="0.75" bottom="0.75" header="0" footer="0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E5ED6-87AD-49FA-86E4-EB64406EFA0A}">
  <sheetPr>
    <tabColor rgb="FFC00000"/>
  </sheetPr>
  <dimension ref="A1:J999"/>
  <sheetViews>
    <sheetView zoomScale="120" zoomScaleNormal="120" workbookViewId="0">
      <selection activeCell="H9" sqref="H9"/>
    </sheetView>
  </sheetViews>
  <sheetFormatPr defaultColWidth="14.42578125" defaultRowHeight="15" customHeight="1"/>
  <cols>
    <col min="1" max="1" width="11.42578125" style="5" customWidth="1"/>
    <col min="2" max="2" width="37.42578125" style="5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7" width="2.85546875" style="5" customWidth="1"/>
    <col min="8" max="8" width="11.7109375" style="5" bestFit="1" customWidth="1"/>
    <col min="9" max="9" width="12.140625" style="5" bestFit="1" customWidth="1"/>
    <col min="10" max="10" width="11.28515625" style="5" bestFit="1" customWidth="1"/>
    <col min="11" max="11" width="11.42578125" style="5" customWidth="1"/>
    <col min="12" max="12" width="33.42578125" style="5" bestFit="1" customWidth="1"/>
    <col min="13" max="26" width="11.42578125" style="5" customWidth="1"/>
    <col min="27" max="16384" width="14.42578125" style="5"/>
  </cols>
  <sheetData>
    <row r="1" spans="1:10">
      <c r="A1" s="75"/>
      <c r="B1" s="75"/>
      <c r="C1" s="75"/>
      <c r="D1" s="75"/>
      <c r="E1" s="75"/>
    </row>
    <row r="2" spans="1:10">
      <c r="B2" s="229" t="str" cm="1">
        <f t="array" aca="1" ref="B2" ca="1">RIGHT(CELL("filename", A1), LEN(CELL("filename", A1)) - FIND("]", CELL("filename", A1)))</f>
        <v>Friends Page</v>
      </c>
      <c r="C2" s="230"/>
      <c r="D2" s="230"/>
      <c r="E2" s="231"/>
      <c r="F2" s="97">
        <f ca="1">VLOOKUP(B2,Master!B16:C38,2,FALSE)</f>
        <v>2</v>
      </c>
    </row>
    <row r="3" spans="1:10"/>
    <row r="4" spans="1:10">
      <c r="B4" s="20" t="s">
        <v>80</v>
      </c>
      <c r="C4" s="216">
        <f>Master!$D$11</f>
        <v>0.9</v>
      </c>
      <c r="D4" s="228"/>
      <c r="E4" s="227"/>
      <c r="F4" s="17">
        <f ca="1">C4*F2</f>
        <v>1.8</v>
      </c>
    </row>
    <row r="5" spans="1:10">
      <c r="B5" s="60" t="s">
        <v>222</v>
      </c>
      <c r="C5" s="60" t="s">
        <v>228</v>
      </c>
      <c r="D5" s="60" t="s">
        <v>9</v>
      </c>
      <c r="E5" s="60" t="s">
        <v>2</v>
      </c>
      <c r="F5" s="60" t="s">
        <v>11</v>
      </c>
    </row>
    <row r="6" spans="1:10">
      <c r="B6" s="63" t="s">
        <v>91</v>
      </c>
      <c r="C6" s="13">
        <f t="shared" ref="C6:C15" ca="1" si="0">D6/$D$16*$F$4</f>
        <v>6.2068965517241378E-2</v>
      </c>
      <c r="D6" s="64">
        <v>1</v>
      </c>
      <c r="E6" s="121">
        <v>4</v>
      </c>
      <c r="F6" s="65">
        <f ca="1">E6/4*C6</f>
        <v>6.2068965517241378E-2</v>
      </c>
    </row>
    <row r="7" spans="1:10">
      <c r="B7" s="63" t="s">
        <v>323</v>
      </c>
      <c r="C7" s="13">
        <f t="shared" ca="1" si="0"/>
        <v>0.12413793103448276</v>
      </c>
      <c r="D7" s="64">
        <v>2</v>
      </c>
      <c r="E7" s="121">
        <v>4</v>
      </c>
      <c r="F7" s="65">
        <f t="shared" ref="F7:F9" ca="1" si="1">E7/4*C7</f>
        <v>0.12413793103448276</v>
      </c>
    </row>
    <row r="8" spans="1:10">
      <c r="B8" s="63" t="s">
        <v>94</v>
      </c>
      <c r="C8" s="13">
        <f t="shared" ca="1" si="0"/>
        <v>0.24827586206896551</v>
      </c>
      <c r="D8" s="64">
        <v>4</v>
      </c>
      <c r="E8" s="121">
        <v>0</v>
      </c>
      <c r="F8" s="65">
        <f t="shared" ca="1" si="1"/>
        <v>0</v>
      </c>
      <c r="H8" s="134" t="s">
        <v>322</v>
      </c>
      <c r="I8" s="134" t="s">
        <v>97</v>
      </c>
      <c r="J8" s="134" t="s">
        <v>96</v>
      </c>
    </row>
    <row r="9" spans="1:10">
      <c r="B9" s="14" t="s">
        <v>332</v>
      </c>
      <c r="C9" s="13">
        <f t="shared" ca="1" si="0"/>
        <v>0.24827586206896551</v>
      </c>
      <c r="D9" s="73">
        <v>4</v>
      </c>
      <c r="E9" s="74">
        <f>(H9/J9*4)-((1-I9)*(H9/J9*2))</f>
        <v>3.2</v>
      </c>
      <c r="F9" s="65">
        <f t="shared" ca="1" si="1"/>
        <v>0.19862068965517243</v>
      </c>
      <c r="H9" s="138">
        <v>8</v>
      </c>
      <c r="I9" s="138">
        <v>1</v>
      </c>
      <c r="J9" s="136">
        <v>10</v>
      </c>
    </row>
    <row r="10" spans="1:10">
      <c r="B10" s="157" t="s">
        <v>328</v>
      </c>
      <c r="C10" s="13">
        <f t="shared" ca="1" si="0"/>
        <v>6.2068965517241378E-2</v>
      </c>
      <c r="D10" s="73">
        <v>1</v>
      </c>
      <c r="E10" s="121">
        <v>4</v>
      </c>
      <c r="F10" s="65">
        <f ca="1">E10/4*C10</f>
        <v>6.2068965517241378E-2</v>
      </c>
    </row>
    <row r="11" spans="1:10">
      <c r="B11" s="157" t="s">
        <v>326</v>
      </c>
      <c r="C11" s="13">
        <f t="shared" ca="1" si="0"/>
        <v>0.12413793103448276</v>
      </c>
      <c r="D11" s="73">
        <v>2</v>
      </c>
      <c r="E11" s="121">
        <v>0</v>
      </c>
      <c r="F11" s="65">
        <f ca="1">E11/4*C11</f>
        <v>0</v>
      </c>
    </row>
    <row r="12" spans="1:10">
      <c r="B12" s="157" t="s">
        <v>329</v>
      </c>
      <c r="C12" s="13">
        <f t="shared" ca="1" si="0"/>
        <v>0.24827586206896551</v>
      </c>
      <c r="D12" s="73">
        <v>4</v>
      </c>
      <c r="E12" s="121">
        <v>0</v>
      </c>
      <c r="F12" s="65">
        <f ca="1">E12/4*C12</f>
        <v>0</v>
      </c>
    </row>
    <row r="13" spans="1:10">
      <c r="B13" s="14" t="s">
        <v>333</v>
      </c>
      <c r="C13" s="13">
        <f t="shared" ca="1" si="0"/>
        <v>0.49655172413793103</v>
      </c>
      <c r="D13" s="73">
        <v>8</v>
      </c>
      <c r="E13" s="121">
        <v>4</v>
      </c>
      <c r="F13" s="65">
        <f ca="1">E13/4*C13</f>
        <v>0.49655172413793103</v>
      </c>
    </row>
    <row r="14" spans="1:10">
      <c r="B14" s="22" t="s">
        <v>281</v>
      </c>
      <c r="C14" s="13">
        <f t="shared" ca="1" si="0"/>
        <v>9.3103448275862075E-2</v>
      </c>
      <c r="D14" s="64">
        <v>1.5</v>
      </c>
      <c r="E14" s="122">
        <v>0</v>
      </c>
      <c r="F14" s="65">
        <f t="shared" ref="F14:F15" ca="1" si="2">E14/4*C14</f>
        <v>0</v>
      </c>
    </row>
    <row r="15" spans="1:10">
      <c r="B15" s="22" t="s">
        <v>282</v>
      </c>
      <c r="C15" s="13">
        <f t="shared" ca="1" si="0"/>
        <v>9.3103448275862075E-2</v>
      </c>
      <c r="D15" s="64">
        <v>1.5</v>
      </c>
      <c r="E15" s="122">
        <v>0</v>
      </c>
      <c r="F15" s="65">
        <f t="shared" ca="1" si="2"/>
        <v>0</v>
      </c>
    </row>
    <row r="16" spans="1:10" ht="15.75" thickBot="1">
      <c r="B16" s="61" t="s">
        <v>33</v>
      </c>
      <c r="C16" s="62">
        <f ca="1">SUM(C6:C15)</f>
        <v>1.8000000000000003</v>
      </c>
      <c r="D16" s="62">
        <f>SUM(D6:D15)</f>
        <v>29</v>
      </c>
      <c r="E16" s="52"/>
      <c r="F16" s="62">
        <f ca="1">SUM(F6:F15)</f>
        <v>0.94344827586206903</v>
      </c>
    </row>
    <row r="17" spans="2:6" ht="15.75" thickTop="1"/>
    <row r="18" spans="2:6">
      <c r="B18" s="20" t="s">
        <v>75</v>
      </c>
      <c r="C18" s="216">
        <f>Master!$D$12</f>
        <v>0.1</v>
      </c>
      <c r="D18" s="217"/>
      <c r="E18" s="218"/>
      <c r="F18" s="17">
        <f ca="1">C18*F2</f>
        <v>0.2</v>
      </c>
    </row>
    <row r="19" spans="2:6">
      <c r="B19" s="21" t="s">
        <v>222</v>
      </c>
      <c r="C19" s="21" t="s">
        <v>228</v>
      </c>
      <c r="D19" s="21" t="s">
        <v>9</v>
      </c>
      <c r="E19" s="21" t="s">
        <v>2</v>
      </c>
      <c r="F19" s="60" t="s">
        <v>11</v>
      </c>
    </row>
    <row r="20" spans="2:6">
      <c r="B20" s="67" t="s">
        <v>76</v>
      </c>
      <c r="C20" s="23">
        <f ca="1">D20/$D$25*$F$18</f>
        <v>4.0000000000000008E-2</v>
      </c>
      <c r="D20" s="24">
        <v>2</v>
      </c>
      <c r="E20" s="112">
        <v>4</v>
      </c>
      <c r="F20" s="25">
        <f ca="1">E20/4 * C20</f>
        <v>4.0000000000000008E-2</v>
      </c>
    </row>
    <row r="21" spans="2:6">
      <c r="B21" s="67" t="s">
        <v>77</v>
      </c>
      <c r="C21" s="23">
        <f ca="1">D21/$D$25*$F$18</f>
        <v>0.06</v>
      </c>
      <c r="D21" s="24">
        <v>3</v>
      </c>
      <c r="E21" s="112">
        <v>4</v>
      </c>
      <c r="F21" s="25">
        <f ca="1">E21/4 * C21</f>
        <v>0.06</v>
      </c>
    </row>
    <row r="22" spans="2:6">
      <c r="B22" s="55" t="s">
        <v>92</v>
      </c>
      <c r="C22" s="23">
        <f ca="1">D22/$D$25*$F$18</f>
        <v>0.06</v>
      </c>
      <c r="D22" s="24">
        <v>3</v>
      </c>
      <c r="E22" s="112">
        <v>4</v>
      </c>
      <c r="F22" s="25">
        <f ca="1">E22/4 * C22</f>
        <v>0.06</v>
      </c>
    </row>
    <row r="23" spans="2:6" ht="15.75" customHeight="1">
      <c r="B23" s="68" t="s">
        <v>231</v>
      </c>
      <c r="C23" s="23">
        <f ca="1">D23/$D$25*$F$18</f>
        <v>2.0000000000000004E-2</v>
      </c>
      <c r="D23" s="24">
        <v>1</v>
      </c>
      <c r="E23" s="112">
        <v>4</v>
      </c>
      <c r="F23" s="25">
        <f ca="1">E23/4 * C23</f>
        <v>2.0000000000000004E-2</v>
      </c>
    </row>
    <row r="24" spans="2:6" ht="15.75" customHeight="1">
      <c r="B24" s="68" t="s">
        <v>232</v>
      </c>
      <c r="C24" s="23">
        <f ca="1">D24/$D$25*$F$18</f>
        <v>2.0000000000000004E-2</v>
      </c>
      <c r="D24" s="24">
        <v>1</v>
      </c>
      <c r="E24" s="112">
        <v>4</v>
      </c>
      <c r="F24" s="25">
        <f ca="1">E24/4 * C24</f>
        <v>2.0000000000000004E-2</v>
      </c>
    </row>
    <row r="25" spans="2:6" ht="15.75" customHeight="1" thickBot="1">
      <c r="B25" s="33" t="s">
        <v>33</v>
      </c>
      <c r="C25" s="34">
        <f ca="1">SUM(C20:C24)</f>
        <v>0.2</v>
      </c>
      <c r="D25" s="34">
        <f>SUM(D20:D24)</f>
        <v>10</v>
      </c>
      <c r="E25" s="35"/>
      <c r="F25" s="34">
        <f ca="1">SUM(F20:F24)</f>
        <v>0.2</v>
      </c>
    </row>
    <row r="26" spans="2:6" ht="15.75" customHeight="1" thickTop="1"/>
    <row r="27" spans="2:6" ht="15.75" customHeight="1" thickBot="1">
      <c r="B27" s="219" t="s">
        <v>219</v>
      </c>
      <c r="C27" s="220"/>
      <c r="D27" s="220"/>
      <c r="E27" s="221"/>
      <c r="F27" s="107">
        <f ca="1">SUM(F16,F25)</f>
        <v>1.143448275862069</v>
      </c>
    </row>
    <row r="28" spans="2:6" ht="15.75" customHeight="1" thickTop="1"/>
    <row r="29" spans="2:6" ht="15.75" customHeight="1"/>
    <row r="30" spans="2:6" ht="15.75" customHeight="1"/>
    <row r="31" spans="2:6" ht="15.75" customHeight="1"/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C4:E4"/>
    <mergeCell ref="B27:E27"/>
    <mergeCell ref="C18:E18"/>
    <mergeCell ref="B2:E2"/>
  </mergeCells>
  <dataValidations count="1">
    <dataValidation type="decimal" allowBlank="1" showErrorMessage="1" sqref="E20:E24 E6:E15" xr:uid="{96DB8C93-8276-411F-A25C-0E3C2B615058}">
      <formula1>0</formula1>
      <formula2>4</formula2>
    </dataValidation>
  </dataValidations>
  <pageMargins left="0.7" right="0.7" top="0.75" bottom="0.75" header="0" footer="0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F8F0-A730-443D-AB84-DF67CA1A90AB}">
  <sheetPr>
    <tabColor rgb="FFC00000"/>
  </sheetPr>
  <dimension ref="A1:I1016"/>
  <sheetViews>
    <sheetView topLeftCell="A14" zoomScale="130" zoomScaleNormal="130" workbookViewId="0">
      <selection activeCell="H33" sqref="H33"/>
    </sheetView>
  </sheetViews>
  <sheetFormatPr defaultColWidth="14.42578125" defaultRowHeight="15" customHeight="1"/>
  <cols>
    <col min="1" max="1" width="11.42578125" style="5" customWidth="1"/>
    <col min="2" max="2" width="37.42578125" style="5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8" width="15.85546875" style="5" bestFit="1" customWidth="1"/>
    <col min="9" max="10" width="11.42578125" style="5" customWidth="1"/>
    <col min="11" max="11" width="29.28515625" style="5" bestFit="1" customWidth="1"/>
    <col min="12" max="26" width="11.42578125" style="5" customWidth="1"/>
    <col min="27" max="16384" width="14.42578125" style="5"/>
  </cols>
  <sheetData>
    <row r="1" spans="1:9">
      <c r="A1" s="75"/>
      <c r="B1" s="75"/>
      <c r="C1" s="75"/>
      <c r="D1" s="75"/>
      <c r="E1" s="75"/>
    </row>
    <row r="2" spans="1:9">
      <c r="A2" s="75"/>
      <c r="B2" s="229" t="str" cm="1">
        <f t="array" aca="1" ref="B2" ca="1">RIGHT(CELL("filename", A1), LEN(CELL("filename", A1)) - FIND("]", CELL("filename", A1)))</f>
        <v>Profile Page</v>
      </c>
      <c r="C2" s="230"/>
      <c r="D2" s="230"/>
      <c r="E2" s="231"/>
      <c r="F2" s="97">
        <f ca="1">VLOOKUP(B2,Master!B16:C38,2,FALSE)</f>
        <v>4</v>
      </c>
    </row>
    <row r="3" spans="1:9">
      <c r="A3" s="75"/>
    </row>
    <row r="4" spans="1:9">
      <c r="A4" s="75"/>
      <c r="B4" s="20" t="s">
        <v>80</v>
      </c>
      <c r="C4" s="216">
        <f>Master!$D$11</f>
        <v>0.9</v>
      </c>
      <c r="D4" s="228"/>
      <c r="E4" s="227"/>
      <c r="F4" s="17">
        <f ca="1">C4*F2</f>
        <v>3.6</v>
      </c>
    </row>
    <row r="5" spans="1:9">
      <c r="A5" s="75"/>
      <c r="B5" s="60" t="s">
        <v>222</v>
      </c>
      <c r="C5" s="60" t="s">
        <v>228</v>
      </c>
      <c r="D5" s="60" t="s">
        <v>9</v>
      </c>
      <c r="E5" s="60" t="s">
        <v>2</v>
      </c>
      <c r="F5" s="60" t="s">
        <v>11</v>
      </c>
    </row>
    <row r="6" spans="1:9">
      <c r="A6" s="75"/>
      <c r="B6" s="55" t="s">
        <v>91</v>
      </c>
      <c r="C6" s="13">
        <f t="shared" ref="C6:C38" ca="1" si="0">D6/$D$39*$F$4</f>
        <v>4.6753246753246755E-2</v>
      </c>
      <c r="D6" s="64">
        <v>1</v>
      </c>
      <c r="E6" s="122">
        <v>4</v>
      </c>
      <c r="F6" s="65">
        <f ca="1">E6/4*C6</f>
        <v>4.6753246753246755E-2</v>
      </c>
      <c r="H6" s="134" t="s">
        <v>322</v>
      </c>
      <c r="I6" s="134" t="s">
        <v>96</v>
      </c>
    </row>
    <row r="7" spans="1:9">
      <c r="A7" s="75"/>
      <c r="B7" s="55" t="s">
        <v>334</v>
      </c>
      <c r="C7" s="13">
        <f t="shared" ca="1" si="0"/>
        <v>4.6753246753246755E-2</v>
      </c>
      <c r="D7" s="64">
        <v>1</v>
      </c>
      <c r="E7" s="3">
        <f>H7*4/I7</f>
        <v>4</v>
      </c>
      <c r="F7" s="65">
        <f t="shared" ref="F7:F38" ca="1" si="1">E7/4*C7</f>
        <v>4.6753246753246755E-2</v>
      </c>
      <c r="H7" s="138">
        <v>6</v>
      </c>
      <c r="I7" s="136">
        <v>6</v>
      </c>
    </row>
    <row r="8" spans="1:9">
      <c r="A8" s="75"/>
      <c r="B8" s="55" t="s">
        <v>98</v>
      </c>
      <c r="C8" s="13">
        <f t="shared" ca="1" si="0"/>
        <v>9.350649350649351E-2</v>
      </c>
      <c r="D8" s="64">
        <v>2</v>
      </c>
      <c r="E8" s="3">
        <f>H8*4/I8</f>
        <v>3.4285714285714284</v>
      </c>
      <c r="F8" s="65">
        <f t="shared" ca="1" si="1"/>
        <v>8.0148423005565864E-2</v>
      </c>
      <c r="H8" s="138">
        <v>6</v>
      </c>
      <c r="I8" s="136">
        <v>7</v>
      </c>
    </row>
    <row r="9" spans="1:9">
      <c r="A9" s="75"/>
      <c r="B9" s="55" t="s">
        <v>335</v>
      </c>
      <c r="C9" s="13">
        <f t="shared" ca="1" si="0"/>
        <v>9.350649350649351E-2</v>
      </c>
      <c r="D9" s="64">
        <v>2</v>
      </c>
      <c r="E9" s="122">
        <v>4</v>
      </c>
      <c r="F9" s="65">
        <f t="shared" ca="1" si="1"/>
        <v>9.350649350649351E-2</v>
      </c>
    </row>
    <row r="10" spans="1:9">
      <c r="A10" s="75"/>
      <c r="B10" s="55" t="s">
        <v>252</v>
      </c>
      <c r="C10" s="13">
        <f t="shared" ca="1" si="0"/>
        <v>9.350649350649351E-2</v>
      </c>
      <c r="D10" s="64">
        <v>2</v>
      </c>
      <c r="E10" s="122">
        <v>4</v>
      </c>
      <c r="F10" s="65">
        <f t="shared" ca="1" si="1"/>
        <v>9.350649350649351E-2</v>
      </c>
    </row>
    <row r="11" spans="1:9">
      <c r="A11" s="75"/>
      <c r="B11" s="55" t="s">
        <v>251</v>
      </c>
      <c r="C11" s="13">
        <f t="shared" ca="1" si="0"/>
        <v>9.350649350649351E-2</v>
      </c>
      <c r="D11" s="64">
        <v>2</v>
      </c>
      <c r="E11" s="122">
        <v>4</v>
      </c>
      <c r="F11" s="65">
        <f t="shared" ca="1" si="1"/>
        <v>9.350649350649351E-2</v>
      </c>
    </row>
    <row r="12" spans="1:9">
      <c r="A12" s="75"/>
      <c r="B12" s="55" t="s">
        <v>257</v>
      </c>
      <c r="C12" s="13">
        <f t="shared" ca="1" si="0"/>
        <v>9.350649350649351E-2</v>
      </c>
      <c r="D12" s="64">
        <v>2</v>
      </c>
      <c r="E12" s="3">
        <f>H12*4/I12</f>
        <v>4</v>
      </c>
      <c r="F12" s="65">
        <f t="shared" ref="F12:F13" ca="1" si="2">E12/4*C12</f>
        <v>9.350649350649351E-2</v>
      </c>
      <c r="H12" s="138">
        <v>3</v>
      </c>
      <c r="I12" s="136">
        <v>3</v>
      </c>
    </row>
    <row r="13" spans="1:9">
      <c r="A13" s="75"/>
      <c r="B13" s="55" t="s">
        <v>399</v>
      </c>
      <c r="C13" s="13">
        <f t="shared" ca="1" si="0"/>
        <v>9.350649350649351E-2</v>
      </c>
      <c r="D13" s="64">
        <v>2</v>
      </c>
      <c r="E13" s="122">
        <v>2</v>
      </c>
      <c r="F13" s="65">
        <f t="shared" ca="1" si="2"/>
        <v>4.6753246753246755E-2</v>
      </c>
      <c r="H13" s="169"/>
      <c r="I13" s="170"/>
    </row>
    <row r="14" spans="1:9">
      <c r="A14" s="75"/>
      <c r="B14" s="55" t="s">
        <v>99</v>
      </c>
      <c r="C14" s="13">
        <f t="shared" ca="1" si="0"/>
        <v>0.18701298701298702</v>
      </c>
      <c r="D14" s="64">
        <v>4</v>
      </c>
      <c r="E14" s="122">
        <v>4</v>
      </c>
      <c r="F14" s="65">
        <f t="shared" ca="1" si="1"/>
        <v>0.18701298701298702</v>
      </c>
    </row>
    <row r="15" spans="1:9">
      <c r="A15" s="75"/>
      <c r="B15" s="55" t="s">
        <v>100</v>
      </c>
      <c r="C15" s="13">
        <f t="shared" ca="1" si="0"/>
        <v>4.6753246753246755E-2</v>
      </c>
      <c r="D15" s="64">
        <v>1</v>
      </c>
      <c r="E15" s="122">
        <v>4</v>
      </c>
      <c r="F15" s="65">
        <f t="shared" ca="1" si="1"/>
        <v>4.6753246753246755E-2</v>
      </c>
    </row>
    <row r="16" spans="1:9">
      <c r="A16" s="75"/>
      <c r="B16" s="55" t="s">
        <v>101</v>
      </c>
      <c r="C16" s="13">
        <f t="shared" ca="1" si="0"/>
        <v>4.6753246753246755E-2</v>
      </c>
      <c r="D16" s="73">
        <v>1</v>
      </c>
      <c r="E16" s="122">
        <v>4</v>
      </c>
      <c r="F16" s="65">
        <f t="shared" ca="1" si="1"/>
        <v>4.6753246753246755E-2</v>
      </c>
    </row>
    <row r="17" spans="1:9">
      <c r="A17" s="75"/>
      <c r="B17" s="55" t="s">
        <v>102</v>
      </c>
      <c r="C17" s="13">
        <f t="shared" ca="1" si="0"/>
        <v>4.6753246753246755E-2</v>
      </c>
      <c r="D17" s="73">
        <v>1</v>
      </c>
      <c r="E17" s="122">
        <v>2</v>
      </c>
      <c r="F17" s="65">
        <f t="shared" ca="1" si="1"/>
        <v>2.3376623376623377E-2</v>
      </c>
    </row>
    <row r="18" spans="1:9">
      <c r="A18" s="75"/>
      <c r="B18" s="55" t="s">
        <v>103</v>
      </c>
      <c r="C18" s="77">
        <f t="shared" ca="1" si="0"/>
        <v>4.6753246753246755E-2</v>
      </c>
      <c r="D18" s="78">
        <v>1</v>
      </c>
      <c r="E18" s="122">
        <v>0</v>
      </c>
      <c r="F18" s="79">
        <f t="shared" ca="1" si="1"/>
        <v>0</v>
      </c>
    </row>
    <row r="19" spans="1:9">
      <c r="A19" s="75"/>
      <c r="B19" s="76" t="s">
        <v>104</v>
      </c>
      <c r="C19" s="77">
        <f t="shared" ca="1" si="0"/>
        <v>0.14025974025974025</v>
      </c>
      <c r="D19" s="73">
        <v>3</v>
      </c>
      <c r="E19" s="122">
        <v>0</v>
      </c>
      <c r="F19" s="79">
        <f t="shared" ca="1" si="1"/>
        <v>0</v>
      </c>
    </row>
    <row r="20" spans="1:9">
      <c r="A20" s="75"/>
      <c r="B20" s="76" t="s">
        <v>105</v>
      </c>
      <c r="C20" s="77">
        <f t="shared" ca="1" si="0"/>
        <v>0.14025974025974025</v>
      </c>
      <c r="D20" s="73">
        <v>3</v>
      </c>
      <c r="E20" s="80">
        <f>H20*4/I20</f>
        <v>4</v>
      </c>
      <c r="F20" s="79">
        <f t="shared" ca="1" si="1"/>
        <v>0.14025974025974025</v>
      </c>
      <c r="H20" s="138">
        <v>2</v>
      </c>
      <c r="I20" s="136">
        <v>2</v>
      </c>
    </row>
    <row r="21" spans="1:9">
      <c r="A21" s="75"/>
      <c r="B21" s="76" t="s">
        <v>106</v>
      </c>
      <c r="C21" s="77">
        <f t="shared" ca="1" si="0"/>
        <v>0.14025974025974025</v>
      </c>
      <c r="D21" s="73">
        <v>3</v>
      </c>
      <c r="E21" s="80">
        <f>H21*4/I21</f>
        <v>1</v>
      </c>
      <c r="F21" s="79">
        <f t="shared" ca="1" si="1"/>
        <v>3.5064935064935063E-2</v>
      </c>
      <c r="H21" s="138">
        <v>1</v>
      </c>
      <c r="I21" s="136">
        <v>4</v>
      </c>
    </row>
    <row r="22" spans="1:9">
      <c r="A22" s="75"/>
      <c r="B22" s="76" t="s">
        <v>107</v>
      </c>
      <c r="C22" s="77">
        <f t="shared" ca="1" si="0"/>
        <v>0.23376623376623376</v>
      </c>
      <c r="D22" s="73">
        <v>5</v>
      </c>
      <c r="E22" s="122">
        <v>3</v>
      </c>
      <c r="F22" s="79">
        <f t="shared" ca="1" si="1"/>
        <v>0.17532467532467533</v>
      </c>
    </row>
    <row r="23" spans="1:9">
      <c r="A23" s="75"/>
      <c r="B23" s="76" t="s">
        <v>108</v>
      </c>
      <c r="C23" s="77">
        <f t="shared" ca="1" si="0"/>
        <v>4.6753246753246755E-2</v>
      </c>
      <c r="D23" s="73">
        <v>1</v>
      </c>
      <c r="E23" s="122">
        <v>0</v>
      </c>
      <c r="F23" s="79">
        <f t="shared" ca="1" si="1"/>
        <v>0</v>
      </c>
    </row>
    <row r="24" spans="1:9">
      <c r="A24" s="75"/>
      <c r="B24" s="76" t="s">
        <v>253</v>
      </c>
      <c r="C24" s="77">
        <f t="shared" ca="1" si="0"/>
        <v>0.14025974025974025</v>
      </c>
      <c r="D24" s="73">
        <v>3</v>
      </c>
      <c r="E24" s="80">
        <f>H24*4/I24</f>
        <v>4</v>
      </c>
      <c r="F24" s="79">
        <f t="shared" ref="F24:F25" ca="1" si="3">E24/4*C24</f>
        <v>0.14025974025974025</v>
      </c>
      <c r="H24" s="138">
        <v>3</v>
      </c>
      <c r="I24" s="136">
        <v>3</v>
      </c>
    </row>
    <row r="25" spans="1:9">
      <c r="A25" s="75"/>
      <c r="B25" s="76" t="s">
        <v>256</v>
      </c>
      <c r="C25" s="77">
        <f t="shared" ca="1" si="0"/>
        <v>4.6753246753246755E-2</v>
      </c>
      <c r="D25" s="73">
        <v>1</v>
      </c>
      <c r="E25" s="122">
        <v>2</v>
      </c>
      <c r="F25" s="79">
        <f t="shared" ca="1" si="3"/>
        <v>2.3376623376623377E-2</v>
      </c>
    </row>
    <row r="26" spans="1:9">
      <c r="A26" s="75"/>
      <c r="B26" s="76" t="s">
        <v>109</v>
      </c>
      <c r="C26" s="77">
        <f t="shared" ca="1" si="0"/>
        <v>9.350649350649351E-2</v>
      </c>
      <c r="D26" s="73">
        <v>2</v>
      </c>
      <c r="E26" s="122">
        <v>0</v>
      </c>
      <c r="F26" s="79">
        <f t="shared" ca="1" si="1"/>
        <v>0</v>
      </c>
    </row>
    <row r="27" spans="1:9">
      <c r="A27" s="75"/>
      <c r="B27" s="76" t="s">
        <v>110</v>
      </c>
      <c r="C27" s="77">
        <f t="shared" ca="1" si="0"/>
        <v>9.350649350649351E-2</v>
      </c>
      <c r="D27" s="73">
        <v>2</v>
      </c>
      <c r="E27" s="122">
        <v>0</v>
      </c>
      <c r="F27" s="79">
        <f t="shared" ca="1" si="1"/>
        <v>0</v>
      </c>
    </row>
    <row r="28" spans="1:9">
      <c r="A28" s="75"/>
      <c r="B28" s="76" t="s">
        <v>111</v>
      </c>
      <c r="C28" s="77">
        <f t="shared" ca="1" si="0"/>
        <v>0.14025974025974025</v>
      </c>
      <c r="D28" s="73">
        <v>3</v>
      </c>
      <c r="E28" s="80">
        <f>H28*4/I28</f>
        <v>0</v>
      </c>
      <c r="F28" s="79">
        <f t="shared" ca="1" si="1"/>
        <v>0</v>
      </c>
      <c r="H28" s="138">
        <v>0</v>
      </c>
      <c r="I28" s="136">
        <v>3</v>
      </c>
    </row>
    <row r="29" spans="1:9">
      <c r="A29" s="75"/>
      <c r="B29" s="76" t="s">
        <v>112</v>
      </c>
      <c r="C29" s="77">
        <f t="shared" ca="1" si="0"/>
        <v>4.6753246753246755E-2</v>
      </c>
      <c r="D29" s="73">
        <v>1</v>
      </c>
      <c r="E29" s="122">
        <v>0</v>
      </c>
      <c r="F29" s="79">
        <f t="shared" ca="1" si="1"/>
        <v>0</v>
      </c>
    </row>
    <row r="30" spans="1:9">
      <c r="A30" s="75"/>
      <c r="B30" s="76" t="s">
        <v>113</v>
      </c>
      <c r="C30" s="77">
        <f t="shared" ca="1" si="0"/>
        <v>9.350649350649351E-2</v>
      </c>
      <c r="D30" s="73">
        <v>2</v>
      </c>
      <c r="E30" s="122">
        <v>0</v>
      </c>
      <c r="F30" s="79">
        <f t="shared" ca="1" si="1"/>
        <v>0</v>
      </c>
    </row>
    <row r="31" spans="1:9">
      <c r="A31" s="75"/>
      <c r="B31" s="76" t="s">
        <v>254</v>
      </c>
      <c r="C31" s="77">
        <f t="shared" ca="1" si="0"/>
        <v>9.350649350649351E-2</v>
      </c>
      <c r="D31" s="73">
        <v>2</v>
      </c>
      <c r="E31" s="122">
        <v>4</v>
      </c>
      <c r="F31" s="79">
        <f t="shared" ca="1" si="1"/>
        <v>9.350649350649351E-2</v>
      </c>
    </row>
    <row r="32" spans="1:9">
      <c r="A32" s="75"/>
      <c r="B32" s="76" t="s">
        <v>255</v>
      </c>
      <c r="C32" s="77">
        <f t="shared" ca="1" si="0"/>
        <v>0.14025974025974025</v>
      </c>
      <c r="D32" s="73">
        <v>3</v>
      </c>
      <c r="E32" s="80">
        <f>H32*4/I32</f>
        <v>2.6666666666666665</v>
      </c>
      <c r="F32" s="79">
        <f t="shared" ca="1" si="1"/>
        <v>9.3506493506493496E-2</v>
      </c>
      <c r="H32" s="138">
        <v>2</v>
      </c>
      <c r="I32" s="136">
        <v>3</v>
      </c>
    </row>
    <row r="33" spans="1:6">
      <c r="A33" s="75"/>
      <c r="B33" s="76" t="s">
        <v>114</v>
      </c>
      <c r="C33" s="77">
        <f t="shared" ca="1" si="0"/>
        <v>4.6753246753246755E-2</v>
      </c>
      <c r="D33" s="78">
        <v>1</v>
      </c>
      <c r="E33" s="122">
        <v>4</v>
      </c>
      <c r="F33" s="79">
        <f t="shared" ca="1" si="1"/>
        <v>4.6753246753246755E-2</v>
      </c>
    </row>
    <row r="34" spans="1:6">
      <c r="A34" s="75"/>
      <c r="B34" s="166" t="s">
        <v>115</v>
      </c>
      <c r="C34" s="161">
        <f t="shared" ca="1" si="0"/>
        <v>0.18701298701298702</v>
      </c>
      <c r="D34" s="165">
        <v>4</v>
      </c>
      <c r="E34" s="122">
        <v>2</v>
      </c>
      <c r="F34" s="163">
        <f t="shared" ca="1" si="1"/>
        <v>9.350649350649351E-2</v>
      </c>
    </row>
    <row r="35" spans="1:6">
      <c r="A35" s="75"/>
      <c r="B35" s="168" t="s">
        <v>391</v>
      </c>
      <c r="C35" s="161">
        <f t="shared" ca="1" si="0"/>
        <v>9.350649350649351E-2</v>
      </c>
      <c r="D35" s="165">
        <v>2</v>
      </c>
      <c r="E35" s="122">
        <v>0</v>
      </c>
      <c r="F35" s="163">
        <f t="shared" ca="1" si="1"/>
        <v>0</v>
      </c>
    </row>
    <row r="36" spans="1:6">
      <c r="A36" s="75"/>
      <c r="B36" s="167" t="s">
        <v>79</v>
      </c>
      <c r="C36" s="161">
        <f t="shared" ca="1" si="0"/>
        <v>0.37402597402597404</v>
      </c>
      <c r="D36" s="165">
        <v>8</v>
      </c>
      <c r="E36" s="122">
        <v>0</v>
      </c>
      <c r="F36" s="163">
        <f t="shared" ca="1" si="1"/>
        <v>0</v>
      </c>
    </row>
    <row r="37" spans="1:6">
      <c r="A37" s="75"/>
      <c r="B37" s="22" t="s">
        <v>281</v>
      </c>
      <c r="C37" s="161">
        <f t="shared" ca="1" si="0"/>
        <v>0.14025974025974025</v>
      </c>
      <c r="D37" s="64">
        <v>3</v>
      </c>
      <c r="E37" s="122">
        <v>0</v>
      </c>
      <c r="F37" s="65">
        <f t="shared" ca="1" si="1"/>
        <v>0</v>
      </c>
    </row>
    <row r="38" spans="1:6">
      <c r="A38" s="75"/>
      <c r="B38" s="22" t="s">
        <v>282</v>
      </c>
      <c r="C38" s="161">
        <f t="shared" ca="1" si="0"/>
        <v>0.14025974025974025</v>
      </c>
      <c r="D38" s="64">
        <v>3</v>
      </c>
      <c r="E38" s="122">
        <v>0</v>
      </c>
      <c r="F38" s="65">
        <f t="shared" ca="1" si="1"/>
        <v>0</v>
      </c>
    </row>
    <row r="39" spans="1:6" ht="15.75" thickBot="1">
      <c r="A39" s="75"/>
      <c r="B39" s="61" t="s">
        <v>33</v>
      </c>
      <c r="C39" s="62">
        <f ca="1">SUM(C6:C38)</f>
        <v>3.5999999999999996</v>
      </c>
      <c r="D39" s="62">
        <f>SUM(D6:D38)</f>
        <v>77</v>
      </c>
      <c r="E39" s="52"/>
      <c r="F39" s="62">
        <f ca="1">SUM(F6:F38)</f>
        <v>1.7398886827458258</v>
      </c>
    </row>
    <row r="40" spans="1:6" ht="15.75" customHeight="1" thickTop="1"/>
    <row r="41" spans="1:6" ht="15.75" customHeight="1">
      <c r="B41" s="20" t="s">
        <v>75</v>
      </c>
      <c r="C41" s="216">
        <f>Master!$D$12</f>
        <v>0.1</v>
      </c>
      <c r="D41" s="217"/>
      <c r="E41" s="218"/>
      <c r="F41" s="17">
        <f ca="1">C41*F2</f>
        <v>0.4</v>
      </c>
    </row>
    <row r="42" spans="1:6" ht="15.75" customHeight="1">
      <c r="B42" s="21" t="s">
        <v>222</v>
      </c>
      <c r="C42" s="21" t="s">
        <v>228</v>
      </c>
      <c r="D42" s="21" t="s">
        <v>9</v>
      </c>
      <c r="E42" s="21" t="s">
        <v>2</v>
      </c>
      <c r="F42" s="60" t="s">
        <v>11</v>
      </c>
    </row>
    <row r="43" spans="1:6" ht="15.75" customHeight="1">
      <c r="B43" s="67" t="s">
        <v>76</v>
      </c>
      <c r="C43" s="23">
        <f ca="1">D43/$D$48*$F$41</f>
        <v>8.0000000000000016E-2</v>
      </c>
      <c r="D43" s="24">
        <v>2</v>
      </c>
      <c r="E43" s="122">
        <v>4</v>
      </c>
      <c r="F43" s="25">
        <f ca="1">E43/4 * C43</f>
        <v>8.0000000000000016E-2</v>
      </c>
    </row>
    <row r="44" spans="1:6" ht="15.75" customHeight="1">
      <c r="B44" s="67" t="s">
        <v>78</v>
      </c>
      <c r="C44" s="23">
        <f ca="1">D44/$D$48*$F$41</f>
        <v>0.12</v>
      </c>
      <c r="D44" s="24">
        <v>3</v>
      </c>
      <c r="E44" s="122">
        <v>4</v>
      </c>
      <c r="F44" s="25">
        <f ca="1">E44/4 * C44</f>
        <v>0.12</v>
      </c>
    </row>
    <row r="45" spans="1:6" ht="15.75" customHeight="1">
      <c r="B45" s="67" t="s">
        <v>77</v>
      </c>
      <c r="C45" s="23">
        <f ca="1">D45/$D$48*$F$41</f>
        <v>0.12</v>
      </c>
      <c r="D45" s="24">
        <v>3</v>
      </c>
      <c r="E45" s="122">
        <v>4</v>
      </c>
      <c r="F45" s="25">
        <f ca="1">E45/4 * C45</f>
        <v>0.12</v>
      </c>
    </row>
    <row r="46" spans="1:6" ht="15.75" customHeight="1">
      <c r="B46" s="68" t="s">
        <v>231</v>
      </c>
      <c r="C46" s="23">
        <f ca="1">D46/$D$48*$F$41</f>
        <v>4.0000000000000008E-2</v>
      </c>
      <c r="D46" s="24">
        <v>1</v>
      </c>
      <c r="E46" s="122">
        <v>4</v>
      </c>
      <c r="F46" s="25">
        <f ca="1">E46/4 * C46</f>
        <v>4.0000000000000008E-2</v>
      </c>
    </row>
    <row r="47" spans="1:6" ht="15.75" customHeight="1">
      <c r="B47" s="68" t="s">
        <v>232</v>
      </c>
      <c r="C47" s="23">
        <f ca="1">D47/$D$48*$F$41</f>
        <v>4.0000000000000008E-2</v>
      </c>
      <c r="D47" s="24">
        <v>1</v>
      </c>
      <c r="E47" s="122">
        <v>4</v>
      </c>
      <c r="F47" s="25">
        <f ca="1">E47/4 * C47</f>
        <v>4.0000000000000008E-2</v>
      </c>
    </row>
    <row r="48" spans="1:6" ht="15.75" customHeight="1" thickBot="1">
      <c r="B48" s="33" t="s">
        <v>33</v>
      </c>
      <c r="C48" s="34">
        <f ca="1">SUM(C43:C47)</f>
        <v>0.4</v>
      </c>
      <c r="D48" s="34">
        <f>SUM(D43:D47)</f>
        <v>10</v>
      </c>
      <c r="E48" s="35"/>
      <c r="F48" s="34">
        <f ca="1">SUM(F43:F47)</f>
        <v>0.4</v>
      </c>
    </row>
    <row r="49" spans="2:6" ht="15.75" customHeight="1" thickTop="1"/>
    <row r="50" spans="2:6" ht="15.75" customHeight="1" thickBot="1">
      <c r="B50" s="238" t="s">
        <v>219</v>
      </c>
      <c r="C50" s="238"/>
      <c r="D50" s="238"/>
      <c r="E50" s="238"/>
      <c r="F50" s="107">
        <f ca="1">SUM(F39,F48)</f>
        <v>2.1398886827458257</v>
      </c>
    </row>
    <row r="51" spans="2:6" ht="15.75" customHeight="1" thickTop="1"/>
    <row r="52" spans="2:6" ht="15.75" customHeight="1"/>
    <row r="53" spans="2:6" ht="15.75" customHeight="1"/>
    <row r="54" spans="2:6" ht="15.75" customHeight="1"/>
    <row r="55" spans="2:6" ht="15.75" customHeight="1"/>
    <row r="56" spans="2:6" ht="15.75" customHeight="1"/>
    <row r="57" spans="2:6" ht="15.75" customHeight="1"/>
    <row r="58" spans="2:6" ht="15.75" customHeight="1"/>
    <row r="59" spans="2:6" ht="15.75" customHeight="1"/>
    <row r="60" spans="2:6" ht="15.75" customHeight="1"/>
    <row r="61" spans="2:6" ht="15.75" customHeight="1"/>
    <row r="62" spans="2:6" ht="15.75" customHeight="1"/>
    <row r="63" spans="2:6" ht="15.75" customHeight="1"/>
    <row r="64" spans="2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4">
    <mergeCell ref="B50:E50"/>
    <mergeCell ref="C41:E41"/>
    <mergeCell ref="C4:E4"/>
    <mergeCell ref="B2:E2"/>
  </mergeCells>
  <dataValidations count="1">
    <dataValidation type="decimal" allowBlank="1" showErrorMessage="1" sqref="E6:E38 E43:E47" xr:uid="{82388283-0F32-4D32-89C2-F87FF385F8DE}">
      <formula1>0</formula1>
      <formula2>4</formula2>
    </dataValidation>
  </dataValidations>
  <pageMargins left="0.7" right="0.7" top="0.75" bottom="0.75" header="0" footer="0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A1E7-6386-4D3C-9F5F-9CEFD3AE87E2}">
  <sheetPr>
    <tabColor rgb="FFC00000"/>
  </sheetPr>
  <dimension ref="A1:F1004"/>
  <sheetViews>
    <sheetView zoomScale="120" zoomScaleNormal="120" workbookViewId="0">
      <selection activeCell="E14" sqref="E14"/>
    </sheetView>
  </sheetViews>
  <sheetFormatPr defaultColWidth="14.42578125" defaultRowHeight="15" customHeight="1"/>
  <cols>
    <col min="1" max="1" width="11.42578125" style="5" customWidth="1"/>
    <col min="2" max="2" width="39.7109375" style="5" bestFit="1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7" width="15.85546875" style="5" bestFit="1" customWidth="1"/>
    <col min="8" max="8" width="18.42578125" style="5" bestFit="1" customWidth="1"/>
    <col min="9" max="26" width="11.42578125" style="5" customWidth="1"/>
    <col min="27" max="16384" width="14.42578125" style="5"/>
  </cols>
  <sheetData>
    <row r="1" spans="1:6">
      <c r="A1" s="75"/>
      <c r="B1" s="75"/>
      <c r="C1" s="75"/>
      <c r="D1" s="75"/>
      <c r="E1" s="75"/>
    </row>
    <row r="2" spans="1:6">
      <c r="A2" s="75"/>
      <c r="B2" s="229" t="str" cm="1">
        <f t="array" aca="1" ref="B2" ca="1">RIGHT(CELL("filename", A1), LEN(CELL("filename", A1)) - FIND("]", CELL("filename", A1)))</f>
        <v>Create Playlist Page</v>
      </c>
      <c r="C2" s="230"/>
      <c r="D2" s="230"/>
      <c r="E2" s="231"/>
      <c r="F2" s="97">
        <f ca="1">VLOOKUP(B2,Master!B16:C38,2,FALSE)</f>
        <v>2</v>
      </c>
    </row>
    <row r="3" spans="1:6">
      <c r="A3" s="75"/>
    </row>
    <row r="4" spans="1:6">
      <c r="A4" s="75"/>
      <c r="B4" s="20" t="s">
        <v>80</v>
      </c>
      <c r="C4" s="216">
        <f>Master!$D$11</f>
        <v>0.9</v>
      </c>
      <c r="D4" s="228"/>
      <c r="E4" s="227"/>
      <c r="F4" s="17">
        <f ca="1">C4*F2</f>
        <v>1.8</v>
      </c>
    </row>
    <row r="5" spans="1:6">
      <c r="A5" s="75"/>
      <c r="B5" s="60" t="s">
        <v>222</v>
      </c>
      <c r="C5" s="60" t="s">
        <v>228</v>
      </c>
      <c r="D5" s="60" t="s">
        <v>9</v>
      </c>
      <c r="E5" s="60" t="s">
        <v>2</v>
      </c>
      <c r="F5" s="60" t="s">
        <v>11</v>
      </c>
    </row>
    <row r="6" spans="1:6">
      <c r="A6" s="75"/>
      <c r="B6" s="55" t="s">
        <v>91</v>
      </c>
      <c r="C6" s="13">
        <f t="shared" ref="C6:C16" ca="1" si="0">D6/$D$17*$F$4</f>
        <v>0.06</v>
      </c>
      <c r="D6" s="56">
        <v>1</v>
      </c>
      <c r="E6" s="122">
        <v>2</v>
      </c>
      <c r="F6" s="65">
        <f ca="1">E6/4*C6</f>
        <v>0.03</v>
      </c>
    </row>
    <row r="7" spans="1:6">
      <c r="A7" s="75"/>
      <c r="B7" s="55" t="s">
        <v>258</v>
      </c>
      <c r="C7" s="13">
        <f t="shared" ref="C7" ca="1" si="1">D7/$D$17*$F$4</f>
        <v>0.06</v>
      </c>
      <c r="D7" s="56">
        <v>1</v>
      </c>
      <c r="E7" s="122">
        <v>4</v>
      </c>
      <c r="F7" s="65">
        <f ca="1">E7/4*C7</f>
        <v>0.06</v>
      </c>
    </row>
    <row r="8" spans="1:6">
      <c r="A8" s="75"/>
      <c r="B8" s="55" t="s">
        <v>394</v>
      </c>
      <c r="C8" s="13">
        <f t="shared" ca="1" si="0"/>
        <v>0.06</v>
      </c>
      <c r="D8" s="56">
        <v>1</v>
      </c>
      <c r="E8" s="122">
        <v>4</v>
      </c>
      <c r="F8" s="65">
        <f t="shared" ref="F8:F16" ca="1" si="2">E8/4*C8</f>
        <v>0.06</v>
      </c>
    </row>
    <row r="9" spans="1:6">
      <c r="A9" s="75"/>
      <c r="B9" s="55" t="s">
        <v>116</v>
      </c>
      <c r="C9" s="13">
        <f t="shared" ca="1" si="0"/>
        <v>0.18000000000000002</v>
      </c>
      <c r="D9" s="56">
        <v>3</v>
      </c>
      <c r="E9" s="122">
        <v>4</v>
      </c>
      <c r="F9" s="65">
        <f t="shared" ca="1" si="2"/>
        <v>0.18000000000000002</v>
      </c>
    </row>
    <row r="10" spans="1:6">
      <c r="A10" s="75"/>
      <c r="B10" s="55" t="s">
        <v>117</v>
      </c>
      <c r="C10" s="13">
        <f t="shared" ca="1" si="0"/>
        <v>0.18000000000000002</v>
      </c>
      <c r="D10" s="56">
        <v>3</v>
      </c>
      <c r="E10" s="122">
        <v>4</v>
      </c>
      <c r="F10" s="65">
        <f t="shared" ca="1" si="2"/>
        <v>0.18000000000000002</v>
      </c>
    </row>
    <row r="11" spans="1:6">
      <c r="A11" s="75"/>
      <c r="B11" s="55" t="s">
        <v>118</v>
      </c>
      <c r="C11" s="13">
        <f t="shared" ca="1" si="0"/>
        <v>0.3</v>
      </c>
      <c r="D11" s="56">
        <v>5</v>
      </c>
      <c r="E11" s="122">
        <v>4</v>
      </c>
      <c r="F11" s="65">
        <f t="shared" ca="1" si="2"/>
        <v>0.3</v>
      </c>
    </row>
    <row r="12" spans="1:6">
      <c r="A12" s="75"/>
      <c r="B12" s="55" t="s">
        <v>393</v>
      </c>
      <c r="C12" s="13">
        <f t="shared" ca="1" si="0"/>
        <v>0.3</v>
      </c>
      <c r="D12" s="56">
        <v>5</v>
      </c>
      <c r="E12" s="122">
        <v>4</v>
      </c>
      <c r="F12" s="65">
        <f t="shared" ca="1" si="2"/>
        <v>0.3</v>
      </c>
    </row>
    <row r="13" spans="1:6">
      <c r="A13" s="75"/>
      <c r="B13" s="55" t="s">
        <v>392</v>
      </c>
      <c r="C13" s="13">
        <f t="shared" ca="1" si="0"/>
        <v>0.12</v>
      </c>
      <c r="D13" s="56">
        <v>2</v>
      </c>
      <c r="E13" s="122">
        <v>4</v>
      </c>
      <c r="F13" s="65">
        <f t="shared" ca="1" si="2"/>
        <v>0.12</v>
      </c>
    </row>
    <row r="14" spans="1:6">
      <c r="A14" s="75"/>
      <c r="B14" s="55" t="s">
        <v>119</v>
      </c>
      <c r="C14" s="13">
        <f t="shared" ca="1" si="0"/>
        <v>0.24</v>
      </c>
      <c r="D14" s="56">
        <v>4</v>
      </c>
      <c r="E14" s="122">
        <v>4</v>
      </c>
      <c r="F14" s="65">
        <f t="shared" ca="1" si="2"/>
        <v>0.24</v>
      </c>
    </row>
    <row r="15" spans="1:6">
      <c r="A15" s="75"/>
      <c r="B15" s="55" t="s">
        <v>78</v>
      </c>
      <c r="C15" s="77">
        <f t="shared" ca="1" si="0"/>
        <v>0.18000000000000002</v>
      </c>
      <c r="D15" s="56">
        <v>3</v>
      </c>
      <c r="E15" s="122">
        <v>3</v>
      </c>
      <c r="F15" s="79">
        <f t="shared" ca="1" si="2"/>
        <v>0.13500000000000001</v>
      </c>
    </row>
    <row r="16" spans="1:6">
      <c r="A16" s="75"/>
      <c r="B16" s="63" t="s">
        <v>323</v>
      </c>
      <c r="C16" s="13">
        <f t="shared" ca="1" si="0"/>
        <v>0.12</v>
      </c>
      <c r="D16" s="81">
        <v>2</v>
      </c>
      <c r="E16" s="122">
        <v>4</v>
      </c>
      <c r="F16" s="65">
        <f t="shared" ca="1" si="2"/>
        <v>0.12</v>
      </c>
    </row>
    <row r="17" spans="1:6" ht="15.75" thickBot="1">
      <c r="A17" s="75"/>
      <c r="B17" s="61" t="s">
        <v>33</v>
      </c>
      <c r="C17" s="62">
        <f ca="1">SUM(C6:C16)</f>
        <v>1.8000000000000003</v>
      </c>
      <c r="D17" s="62">
        <f>SUM(D6:D16)</f>
        <v>30</v>
      </c>
      <c r="E17" s="82"/>
      <c r="F17" s="69">
        <f ca="1">SUM(F6:F16)</f>
        <v>1.7250000000000001</v>
      </c>
    </row>
    <row r="18" spans="1:6" ht="15.75" thickTop="1">
      <c r="A18" s="75"/>
    </row>
    <row r="19" spans="1:6">
      <c r="A19" s="75"/>
      <c r="B19" s="20" t="s">
        <v>75</v>
      </c>
      <c r="C19" s="216">
        <f>Master!$D$12</f>
        <v>0.1</v>
      </c>
      <c r="D19" s="217"/>
      <c r="E19" s="218"/>
      <c r="F19" s="17">
        <f ca="1">C19*F2</f>
        <v>0.2</v>
      </c>
    </row>
    <row r="20" spans="1:6">
      <c r="A20" s="75"/>
      <c r="B20" s="21" t="s">
        <v>222</v>
      </c>
      <c r="C20" s="21" t="s">
        <v>228</v>
      </c>
      <c r="D20" s="21" t="s">
        <v>9</v>
      </c>
      <c r="E20" s="21" t="s">
        <v>2</v>
      </c>
      <c r="F20" s="60" t="s">
        <v>11</v>
      </c>
    </row>
    <row r="21" spans="1:6">
      <c r="A21" s="75"/>
      <c r="B21" s="67" t="s">
        <v>76</v>
      </c>
      <c r="C21" s="23">
        <f ca="1">D21/$D$25*$F$19</f>
        <v>5.7142857142857141E-2</v>
      </c>
      <c r="D21" s="24">
        <v>2</v>
      </c>
      <c r="E21" s="122">
        <v>3</v>
      </c>
      <c r="F21" s="25">
        <f ca="1">E21/4 * C21</f>
        <v>4.2857142857142858E-2</v>
      </c>
    </row>
    <row r="22" spans="1:6">
      <c r="A22" s="75"/>
      <c r="B22" s="67" t="s">
        <v>77</v>
      </c>
      <c r="C22" s="23">
        <f ca="1">D22/$D$25*$F$19</f>
        <v>8.5714285714285715E-2</v>
      </c>
      <c r="D22" s="24">
        <v>3</v>
      </c>
      <c r="E22" s="122">
        <v>3</v>
      </c>
      <c r="F22" s="25">
        <f ca="1">E22/4 * C22</f>
        <v>6.4285714285714279E-2</v>
      </c>
    </row>
    <row r="23" spans="1:6">
      <c r="A23" s="75"/>
      <c r="B23" s="68" t="s">
        <v>231</v>
      </c>
      <c r="C23" s="23">
        <f ca="1">D23/$D$25*$F$19</f>
        <v>2.8571428571428571E-2</v>
      </c>
      <c r="D23" s="24">
        <v>1</v>
      </c>
      <c r="E23" s="122">
        <v>3</v>
      </c>
      <c r="F23" s="25">
        <f ca="1">E23/4 * C23</f>
        <v>2.1428571428571429E-2</v>
      </c>
    </row>
    <row r="24" spans="1:6">
      <c r="A24" s="75"/>
      <c r="B24" s="68" t="s">
        <v>232</v>
      </c>
      <c r="C24" s="23">
        <f ca="1">D24/$D$25*$F$19</f>
        <v>2.8571428571428571E-2</v>
      </c>
      <c r="D24" s="24">
        <v>1</v>
      </c>
      <c r="E24" s="122">
        <v>3</v>
      </c>
      <c r="F24" s="25">
        <f ca="1">E24/4 * C24</f>
        <v>2.1428571428571429E-2</v>
      </c>
    </row>
    <row r="25" spans="1:6" ht="15.75" customHeight="1" thickBot="1">
      <c r="A25" s="75"/>
      <c r="B25" s="33" t="s">
        <v>33</v>
      </c>
      <c r="C25" s="34">
        <f ca="1">SUM(C21:C24)</f>
        <v>0.2</v>
      </c>
      <c r="D25" s="34">
        <f>SUM(D21:D24)</f>
        <v>7</v>
      </c>
      <c r="E25" s="35"/>
      <c r="F25" s="34">
        <f ca="1">SUM(F21:F24)</f>
        <v>0.15</v>
      </c>
    </row>
    <row r="26" spans="1:6" ht="15.75" customHeight="1" thickTop="1"/>
    <row r="27" spans="1:6" ht="15.75" customHeight="1" thickBot="1">
      <c r="B27" s="238" t="s">
        <v>219</v>
      </c>
      <c r="C27" s="238"/>
      <c r="D27" s="238"/>
      <c r="E27" s="238"/>
      <c r="F27" s="107">
        <f ca="1">SUM(F17,F25)</f>
        <v>1.875</v>
      </c>
    </row>
    <row r="28" spans="1:6" ht="15.75" customHeight="1" thickTop="1"/>
    <row r="29" spans="1:6"/>
    <row r="30" spans="1:6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/>
    <row r="39"/>
    <row r="40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4">
    <mergeCell ref="C19:E19"/>
    <mergeCell ref="B27:E27"/>
    <mergeCell ref="C4:E4"/>
    <mergeCell ref="B2:E2"/>
  </mergeCells>
  <dataValidations count="1">
    <dataValidation type="decimal" allowBlank="1" showErrorMessage="1" sqref="E6:E16 E21:E24" xr:uid="{D6FF2143-6566-4CD1-9F7E-67C24CE5276E}">
      <formula1>0</formula1>
      <formula2>4</formula2>
    </dataValidation>
  </dataValidation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I1005"/>
  <sheetViews>
    <sheetView zoomScale="120" zoomScaleNormal="120" workbookViewId="0">
      <selection activeCell="H25" sqref="H25"/>
    </sheetView>
  </sheetViews>
  <sheetFormatPr defaultColWidth="14.42578125" defaultRowHeight="15" customHeight="1"/>
  <cols>
    <col min="1" max="1" width="11.42578125" style="5" customWidth="1"/>
    <col min="2" max="2" width="39.7109375" style="5" bestFit="1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8" width="15.85546875" style="5" bestFit="1" customWidth="1"/>
    <col min="9" max="26" width="11.42578125" style="5" customWidth="1"/>
    <col min="27" max="16384" width="14.42578125" style="5"/>
  </cols>
  <sheetData>
    <row r="1" spans="1:9">
      <c r="A1" s="75"/>
      <c r="B1" s="75"/>
      <c r="C1" s="75"/>
      <c r="D1" s="75"/>
      <c r="E1" s="75"/>
      <c r="F1" s="100"/>
    </row>
    <row r="2" spans="1:9">
      <c r="A2" s="75"/>
      <c r="B2" s="229" t="str" cm="1">
        <f t="array" aca="1" ref="B2" ca="1">RIGHT(CELL("filename", A1), LEN(CELL("filename", A1)) - FIND("]", CELL("filename", A1)))</f>
        <v>Search Page</v>
      </c>
      <c r="C2" s="230"/>
      <c r="D2" s="230"/>
      <c r="E2" s="231"/>
      <c r="F2" s="97">
        <f ca="1">VLOOKUP(B2,Master!B16:C38,2,FALSE)</f>
        <v>3</v>
      </c>
    </row>
    <row r="3" spans="1:9">
      <c r="A3" s="75"/>
    </row>
    <row r="4" spans="1:9">
      <c r="A4" s="75"/>
      <c r="B4" s="20" t="s">
        <v>80</v>
      </c>
      <c r="C4" s="216">
        <f>Master!$D$11</f>
        <v>0.9</v>
      </c>
      <c r="D4" s="228"/>
      <c r="E4" s="227"/>
      <c r="F4" s="17">
        <f ca="1">C4*F2</f>
        <v>2.7</v>
      </c>
    </row>
    <row r="5" spans="1:9">
      <c r="A5" s="75"/>
      <c r="B5" s="60" t="s">
        <v>222</v>
      </c>
      <c r="C5" s="60" t="s">
        <v>228</v>
      </c>
      <c r="D5" s="60" t="s">
        <v>9</v>
      </c>
      <c r="E5" s="60" t="s">
        <v>2</v>
      </c>
      <c r="F5" s="60" t="s">
        <v>11</v>
      </c>
    </row>
    <row r="6" spans="1:9">
      <c r="A6" s="75"/>
      <c r="B6" s="55" t="s">
        <v>91</v>
      </c>
      <c r="C6" s="13">
        <f t="shared" ref="C6:C18" ca="1" si="0">D6/$D$19*$F$4</f>
        <v>3.8571428571428576E-2</v>
      </c>
      <c r="D6" s="56">
        <v>1</v>
      </c>
      <c r="E6" s="122">
        <v>4</v>
      </c>
      <c r="F6" s="65">
        <f ca="1">E6/4*C6</f>
        <v>3.8571428571428576E-2</v>
      </c>
    </row>
    <row r="7" spans="1:9">
      <c r="A7" s="75"/>
      <c r="B7" s="55" t="s">
        <v>70</v>
      </c>
      <c r="C7" s="13">
        <f t="shared" ca="1" si="0"/>
        <v>0.19285714285714287</v>
      </c>
      <c r="D7" s="56">
        <v>5</v>
      </c>
      <c r="E7" s="122">
        <v>4</v>
      </c>
      <c r="F7" s="65">
        <f t="shared" ref="F7:F18" ca="1" si="1">E7/4*C7</f>
        <v>0.19285714285714287</v>
      </c>
    </row>
    <row r="8" spans="1:9">
      <c r="A8" s="75"/>
      <c r="B8" s="55" t="s">
        <v>94</v>
      </c>
      <c r="C8" s="13">
        <f t="shared" ca="1" si="0"/>
        <v>0.27</v>
      </c>
      <c r="D8" s="56">
        <v>7</v>
      </c>
      <c r="E8" s="122">
        <v>0</v>
      </c>
      <c r="F8" s="65">
        <f t="shared" ca="1" si="1"/>
        <v>0</v>
      </c>
    </row>
    <row r="9" spans="1:9">
      <c r="A9" s="75"/>
      <c r="B9" s="55" t="s">
        <v>93</v>
      </c>
      <c r="C9" s="13">
        <f t="shared" ca="1" si="0"/>
        <v>0.27</v>
      </c>
      <c r="D9" s="56">
        <v>7</v>
      </c>
      <c r="E9" s="122">
        <v>4</v>
      </c>
      <c r="F9" s="65">
        <f t="shared" ca="1" si="1"/>
        <v>0.27</v>
      </c>
    </row>
    <row r="10" spans="1:9">
      <c r="A10" s="75"/>
      <c r="B10" s="55" t="s">
        <v>395</v>
      </c>
      <c r="C10" s="13">
        <f t="shared" ca="1" si="0"/>
        <v>0.38571428571428573</v>
      </c>
      <c r="D10" s="56">
        <v>10</v>
      </c>
      <c r="E10" s="122">
        <v>2</v>
      </c>
      <c r="F10" s="65">
        <f t="shared" ca="1" si="1"/>
        <v>0.19285714285714287</v>
      </c>
    </row>
    <row r="11" spans="1:9">
      <c r="A11" s="75"/>
      <c r="B11" s="55" t="s">
        <v>260</v>
      </c>
      <c r="C11" s="13">
        <f t="shared" ca="1" si="0"/>
        <v>0.38571428571428573</v>
      </c>
      <c r="D11" s="56">
        <v>10</v>
      </c>
      <c r="E11" s="122">
        <v>4</v>
      </c>
      <c r="F11" s="65">
        <f t="shared" ca="1" si="1"/>
        <v>0.38571428571428573</v>
      </c>
    </row>
    <row r="12" spans="1:9">
      <c r="A12" s="75"/>
      <c r="B12" s="55" t="s">
        <v>120</v>
      </c>
      <c r="C12" s="13">
        <f t="shared" ca="1" si="0"/>
        <v>0.46285714285714291</v>
      </c>
      <c r="D12" s="56">
        <v>12</v>
      </c>
      <c r="E12" s="122">
        <v>2</v>
      </c>
      <c r="F12" s="65">
        <f t="shared" ca="1" si="1"/>
        <v>0.23142857142857146</v>
      </c>
      <c r="H12" s="134" t="s">
        <v>322</v>
      </c>
      <c r="I12" s="134" t="s">
        <v>96</v>
      </c>
    </row>
    <row r="13" spans="1:9">
      <c r="A13" s="75"/>
      <c r="B13" s="55" t="s">
        <v>122</v>
      </c>
      <c r="C13" s="13">
        <f t="shared" ca="1" si="0"/>
        <v>0.19285714285714287</v>
      </c>
      <c r="D13" s="56">
        <v>5</v>
      </c>
      <c r="E13" s="3">
        <f>H13*4/I13</f>
        <v>4.8</v>
      </c>
      <c r="F13" s="65">
        <f t="shared" ca="1" si="1"/>
        <v>0.23142857142857143</v>
      </c>
      <c r="H13" s="135">
        <v>12</v>
      </c>
      <c r="I13" s="136">
        <v>10</v>
      </c>
    </row>
    <row r="14" spans="1:9">
      <c r="A14" s="75"/>
      <c r="B14" s="55" t="s">
        <v>121</v>
      </c>
      <c r="C14" s="13">
        <f t="shared" ca="1" si="0"/>
        <v>0.19285714285714287</v>
      </c>
      <c r="D14" s="56">
        <v>5</v>
      </c>
      <c r="E14" s="3">
        <f>H14*4/I14</f>
        <v>3.5555555555555554</v>
      </c>
      <c r="F14" s="65">
        <f t="shared" ca="1" si="1"/>
        <v>0.17142857142857143</v>
      </c>
      <c r="H14" s="135">
        <v>8</v>
      </c>
      <c r="I14" s="136">
        <v>9</v>
      </c>
    </row>
    <row r="15" spans="1:9">
      <c r="A15" s="75"/>
      <c r="B15" s="55" t="s">
        <v>123</v>
      </c>
      <c r="C15" s="13">
        <f t="shared" ca="1" si="0"/>
        <v>3.8571428571428576E-2</v>
      </c>
      <c r="D15" s="56">
        <v>1</v>
      </c>
      <c r="E15" s="122">
        <v>3</v>
      </c>
      <c r="F15" s="79">
        <f t="shared" ca="1" si="1"/>
        <v>2.8928571428571432E-2</v>
      </c>
    </row>
    <row r="16" spans="1:9">
      <c r="A16" s="75"/>
      <c r="B16" s="55" t="s">
        <v>124</v>
      </c>
      <c r="C16" s="13">
        <f t="shared" ca="1" si="0"/>
        <v>3.8571428571428576E-2</v>
      </c>
      <c r="D16" s="81">
        <v>1</v>
      </c>
      <c r="E16" s="122">
        <v>4</v>
      </c>
      <c r="F16" s="65">
        <f t="shared" ca="1" si="1"/>
        <v>3.8571428571428576E-2</v>
      </c>
    </row>
    <row r="17" spans="1:6">
      <c r="A17" s="75"/>
      <c r="B17" s="22" t="s">
        <v>281</v>
      </c>
      <c r="C17" s="13">
        <f t="shared" ca="1" si="0"/>
        <v>0.11571428571428573</v>
      </c>
      <c r="D17" s="64">
        <v>3</v>
      </c>
      <c r="E17" s="122">
        <v>0</v>
      </c>
      <c r="F17" s="65">
        <f t="shared" ca="1" si="1"/>
        <v>0</v>
      </c>
    </row>
    <row r="18" spans="1:6">
      <c r="A18" s="75"/>
      <c r="B18" s="22" t="s">
        <v>282</v>
      </c>
      <c r="C18" s="13">
        <f t="shared" ca="1" si="0"/>
        <v>0.11571428571428573</v>
      </c>
      <c r="D18" s="64">
        <v>3</v>
      </c>
      <c r="E18" s="122">
        <v>0</v>
      </c>
      <c r="F18" s="65">
        <f t="shared" ca="1" si="1"/>
        <v>0</v>
      </c>
    </row>
    <row r="19" spans="1:6" ht="15.75" thickBot="1">
      <c r="A19" s="75"/>
      <c r="B19" s="61" t="s">
        <v>33</v>
      </c>
      <c r="C19" s="62">
        <f ca="1">SUM(C6:C18)</f>
        <v>2.7000000000000006</v>
      </c>
      <c r="D19" s="62">
        <f>SUM(D6:D18)</f>
        <v>70</v>
      </c>
      <c r="E19" s="82"/>
      <c r="F19" s="69">
        <f ca="1">SUM(F6:F18)</f>
        <v>1.7817857142857145</v>
      </c>
    </row>
    <row r="20" spans="1:6" ht="15.75" thickTop="1">
      <c r="A20" s="75"/>
    </row>
    <row r="21" spans="1:6">
      <c r="A21" s="75"/>
      <c r="B21" s="20" t="s">
        <v>75</v>
      </c>
      <c r="C21" s="216">
        <f>Master!$D$12</f>
        <v>0.1</v>
      </c>
      <c r="D21" s="217"/>
      <c r="E21" s="218"/>
      <c r="F21" s="17">
        <f ca="1">C21*F2</f>
        <v>0.30000000000000004</v>
      </c>
    </row>
    <row r="22" spans="1:6">
      <c r="A22" s="75"/>
      <c r="B22" s="21" t="s">
        <v>222</v>
      </c>
      <c r="C22" s="21" t="s">
        <v>228</v>
      </c>
      <c r="D22" s="21" t="s">
        <v>9</v>
      </c>
      <c r="E22" s="21" t="s">
        <v>2</v>
      </c>
      <c r="F22" s="60" t="s">
        <v>11</v>
      </c>
    </row>
    <row r="23" spans="1:6">
      <c r="A23" s="75"/>
      <c r="B23" s="67" t="s">
        <v>76</v>
      </c>
      <c r="C23" s="23">
        <f ca="1">D23/$D$28*$F$21</f>
        <v>4.5000000000000005E-2</v>
      </c>
      <c r="D23" s="24">
        <v>15</v>
      </c>
      <c r="E23" s="112">
        <v>3</v>
      </c>
      <c r="F23" s="25">
        <f ca="1">E23/4 * C23</f>
        <v>3.3750000000000002E-2</v>
      </c>
    </row>
    <row r="24" spans="1:6">
      <c r="A24" s="75"/>
      <c r="B24" s="67" t="s">
        <v>78</v>
      </c>
      <c r="C24" s="23">
        <f t="shared" ref="C24:C27" ca="1" si="2">D24/$D$28*$F$21</f>
        <v>3.0000000000000006E-2</v>
      </c>
      <c r="D24" s="24">
        <v>10</v>
      </c>
      <c r="E24" s="112">
        <v>3</v>
      </c>
      <c r="F24" s="25">
        <f ca="1">E24/4 * C24</f>
        <v>2.2500000000000006E-2</v>
      </c>
    </row>
    <row r="25" spans="1:6">
      <c r="A25" s="75"/>
      <c r="B25" s="67" t="s">
        <v>77</v>
      </c>
      <c r="C25" s="23">
        <f t="shared" ca="1" si="2"/>
        <v>4.5000000000000005E-2</v>
      </c>
      <c r="D25" s="24">
        <v>15</v>
      </c>
      <c r="E25" s="112">
        <v>3</v>
      </c>
      <c r="F25" s="25">
        <f ca="1">E25/4 * C25</f>
        <v>3.3750000000000002E-2</v>
      </c>
    </row>
    <row r="26" spans="1:6">
      <c r="A26" s="75"/>
      <c r="B26" s="68" t="s">
        <v>231</v>
      </c>
      <c r="C26" s="23">
        <f t="shared" ca="1" si="2"/>
        <v>9.0000000000000011E-2</v>
      </c>
      <c r="D26" s="24">
        <v>30</v>
      </c>
      <c r="E26" s="112">
        <v>3</v>
      </c>
      <c r="F26" s="25">
        <f ca="1">E26/4 * C26</f>
        <v>6.7500000000000004E-2</v>
      </c>
    </row>
    <row r="27" spans="1:6" ht="15.75" customHeight="1">
      <c r="B27" s="68" t="s">
        <v>232</v>
      </c>
      <c r="C27" s="23">
        <f t="shared" ca="1" si="2"/>
        <v>9.0000000000000011E-2</v>
      </c>
      <c r="D27" s="24">
        <v>30</v>
      </c>
      <c r="E27" s="112">
        <v>3</v>
      </c>
      <c r="F27" s="25">
        <f ca="1">E27/4 * C27</f>
        <v>6.7500000000000004E-2</v>
      </c>
    </row>
    <row r="28" spans="1:6" ht="15.75" customHeight="1" thickBot="1">
      <c r="B28" s="33" t="s">
        <v>33</v>
      </c>
      <c r="C28" s="34">
        <f ca="1">SUM(C23:C27)</f>
        <v>0.30000000000000004</v>
      </c>
      <c r="D28" s="34">
        <f>SUM(D23:D27)</f>
        <v>100</v>
      </c>
      <c r="E28" s="35"/>
      <c r="F28" s="34">
        <f ca="1">SUM(F23:F27)</f>
        <v>0.22500000000000003</v>
      </c>
    </row>
    <row r="29" spans="1:6" ht="15.75" customHeight="1" thickTop="1"/>
    <row r="30" spans="1:6" ht="15.75" customHeight="1" thickBot="1">
      <c r="B30" s="238" t="s">
        <v>219</v>
      </c>
      <c r="C30" s="238"/>
      <c r="D30" s="238"/>
      <c r="E30" s="238"/>
      <c r="F30" s="107">
        <f ca="1">SUM(,F19,F28)</f>
        <v>2.0067857142857144</v>
      </c>
    </row>
    <row r="31" spans="1:6" ht="15.75" customHeight="1" thickTop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4">
    <mergeCell ref="C4:E4"/>
    <mergeCell ref="C21:E21"/>
    <mergeCell ref="B30:E30"/>
    <mergeCell ref="B2:E2"/>
  </mergeCells>
  <dataValidations count="1">
    <dataValidation type="decimal" allowBlank="1" showErrorMessage="1" sqref="E23:E27 E6:E18" xr:uid="{00000000-0002-0000-0900-000000000000}">
      <formula1>0</formula1>
      <formula2>4</formula2>
    </dataValidation>
  </dataValidations>
  <pageMargins left="0.7" right="0.7" top="0.75" bottom="0.75" header="0" footer="0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07A2-8F20-4765-A5E5-B27AD3E7437A}">
  <sheetPr>
    <tabColor rgb="FFC00000"/>
  </sheetPr>
  <dimension ref="A1:F994"/>
  <sheetViews>
    <sheetView zoomScale="120" zoomScaleNormal="120" workbookViewId="0">
      <selection activeCell="F21" sqref="F21"/>
    </sheetView>
  </sheetViews>
  <sheetFormatPr defaultColWidth="14.42578125" defaultRowHeight="15" customHeight="1"/>
  <cols>
    <col min="1" max="1" width="11.42578125" style="5" customWidth="1"/>
    <col min="2" max="2" width="39.7109375" style="5" bestFit="1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7" width="15.85546875" style="5" bestFit="1" customWidth="1"/>
    <col min="8" max="8" width="18.42578125" style="5" bestFit="1" customWidth="1"/>
    <col min="9" max="26" width="11.42578125" style="5" customWidth="1"/>
    <col min="27" max="16384" width="14.42578125" style="5"/>
  </cols>
  <sheetData>
    <row r="1" spans="1:6">
      <c r="A1" s="75"/>
      <c r="B1" s="75"/>
      <c r="C1" s="75"/>
      <c r="D1" s="75"/>
      <c r="E1" s="75"/>
    </row>
    <row r="2" spans="1:6">
      <c r="A2" s="75"/>
      <c r="B2" s="246" t="str" cm="1">
        <f t="array" aca="1" ref="B2" ca="1">RIGHT(CELL("filename", A1), LEN(CELL("filename", A1)) - FIND("]", CELL("filename", A1)))</f>
        <v>Rich Text</v>
      </c>
      <c r="C2" s="247"/>
      <c r="D2" s="247"/>
      <c r="E2" s="248"/>
      <c r="F2" s="101">
        <f ca="1">VLOOKUP(B2,Master!B16:C38,2,FALSE)</f>
        <v>1</v>
      </c>
    </row>
    <row r="3" spans="1:6">
      <c r="A3" s="75"/>
      <c r="B3" s="60" t="s">
        <v>222</v>
      </c>
      <c r="C3" s="60" t="s">
        <v>228</v>
      </c>
      <c r="D3" s="60" t="s">
        <v>9</v>
      </c>
      <c r="E3" s="60" t="s">
        <v>2</v>
      </c>
      <c r="F3" s="60" t="s">
        <v>11</v>
      </c>
    </row>
    <row r="4" spans="1:6">
      <c r="A4" s="75"/>
      <c r="B4" s="55" t="s">
        <v>338</v>
      </c>
      <c r="C4" s="13">
        <f ca="1">D4/$D$10*$F$2</f>
        <v>0.16666666666666666</v>
      </c>
      <c r="D4" s="56">
        <v>1</v>
      </c>
      <c r="E4" s="122">
        <v>4</v>
      </c>
      <c r="F4" s="65">
        <f ca="1">E4/4*C4</f>
        <v>0.16666666666666666</v>
      </c>
    </row>
    <row r="5" spans="1:6">
      <c r="A5" s="75"/>
      <c r="B5" s="55" t="s">
        <v>339</v>
      </c>
      <c r="C5" s="13">
        <f t="shared" ref="C5:C9" ca="1" si="0">D5/$D$10*$F$2</f>
        <v>0.16666666666666666</v>
      </c>
      <c r="D5" s="56">
        <v>1</v>
      </c>
      <c r="E5" s="122">
        <v>4</v>
      </c>
      <c r="F5" s="65">
        <f t="shared" ref="F5:F9" ca="1" si="1">E5/4*C5</f>
        <v>0.16666666666666666</v>
      </c>
    </row>
    <row r="6" spans="1:6">
      <c r="A6" s="75"/>
      <c r="B6" s="55" t="s">
        <v>336</v>
      </c>
      <c r="C6" s="13">
        <f t="shared" ca="1" si="0"/>
        <v>0.16666666666666666</v>
      </c>
      <c r="D6" s="56">
        <v>1</v>
      </c>
      <c r="E6" s="122">
        <v>4</v>
      </c>
      <c r="F6" s="65">
        <f t="shared" ca="1" si="1"/>
        <v>0.16666666666666666</v>
      </c>
    </row>
    <row r="7" spans="1:6">
      <c r="A7" s="75"/>
      <c r="B7" s="55" t="s">
        <v>337</v>
      </c>
      <c r="C7" s="13">
        <f t="shared" ca="1" si="0"/>
        <v>0.16666666666666666</v>
      </c>
      <c r="D7" s="56">
        <v>1</v>
      </c>
      <c r="E7" s="122">
        <v>4</v>
      </c>
      <c r="F7" s="65">
        <f t="shared" ca="1" si="1"/>
        <v>0.16666666666666666</v>
      </c>
    </row>
    <row r="8" spans="1:6">
      <c r="A8" s="75"/>
      <c r="B8" s="55" t="s">
        <v>125</v>
      </c>
      <c r="C8" s="13">
        <f t="shared" ca="1" si="0"/>
        <v>0.16666666666666666</v>
      </c>
      <c r="D8" s="56">
        <v>1</v>
      </c>
      <c r="E8" s="122">
        <v>0</v>
      </c>
      <c r="F8" s="65">
        <f t="shared" ca="1" si="1"/>
        <v>0</v>
      </c>
    </row>
    <row r="9" spans="1:6">
      <c r="A9" s="75"/>
      <c r="B9" s="55" t="s">
        <v>126</v>
      </c>
      <c r="C9" s="13">
        <f t="shared" ca="1" si="0"/>
        <v>0.16666666666666666</v>
      </c>
      <c r="D9" s="56">
        <v>1</v>
      </c>
      <c r="E9" s="122">
        <v>4</v>
      </c>
      <c r="F9" s="65">
        <f t="shared" ca="1" si="1"/>
        <v>0.16666666666666666</v>
      </c>
    </row>
    <row r="10" spans="1:6" ht="15.75" thickBot="1">
      <c r="A10" s="75"/>
      <c r="B10" s="61" t="s">
        <v>33</v>
      </c>
      <c r="C10" s="62">
        <f ca="1">SUM(C4:C9)</f>
        <v>0.99999999999999989</v>
      </c>
      <c r="D10" s="62">
        <f>SUM(D4:D9)</f>
        <v>6</v>
      </c>
      <c r="E10" s="82"/>
      <c r="F10" s="69">
        <f ca="1">SUM(F4:F9)</f>
        <v>0.83333333333333326</v>
      </c>
    </row>
    <row r="11" spans="1:6" ht="15.75" thickTop="1">
      <c r="A11" s="75"/>
    </row>
    <row r="12" spans="1:6">
      <c r="A12" s="75"/>
    </row>
    <row r="13" spans="1:6">
      <c r="A13" s="75"/>
    </row>
    <row r="14" spans="1:6">
      <c r="A14" s="75"/>
    </row>
    <row r="15" spans="1:6">
      <c r="A15" s="75"/>
    </row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">
    <mergeCell ref="B2:E2"/>
  </mergeCells>
  <dataValidations count="1">
    <dataValidation type="decimal" allowBlank="1" showErrorMessage="1" sqref="E4:E9" xr:uid="{2AC13B3C-5882-47B2-ACDF-2552979D10D8}">
      <formula1>0</formula1>
      <formula2>4</formula2>
    </dataValidation>
  </dataValidation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A599-5E2D-42CB-8DFB-41DF8FC15E44}">
  <sheetPr>
    <tabColor rgb="FFC00000"/>
  </sheetPr>
  <dimension ref="A1:F1005"/>
  <sheetViews>
    <sheetView zoomScale="120" zoomScaleNormal="120" workbookViewId="0">
      <selection activeCell="B13" sqref="B13"/>
    </sheetView>
  </sheetViews>
  <sheetFormatPr defaultColWidth="14.42578125" defaultRowHeight="15" customHeight="1"/>
  <cols>
    <col min="1" max="1" width="11.42578125" style="5" customWidth="1"/>
    <col min="2" max="2" width="39.7109375" style="5" bestFit="1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7" width="15.85546875" style="5" bestFit="1" customWidth="1"/>
    <col min="8" max="8" width="18.42578125" style="5" bestFit="1" customWidth="1"/>
    <col min="9" max="26" width="11.42578125" style="5" customWidth="1"/>
    <col min="27" max="16384" width="14.42578125" style="5"/>
  </cols>
  <sheetData>
    <row r="1" spans="1:6">
      <c r="A1" s="75"/>
      <c r="B1" s="75"/>
      <c r="C1" s="75"/>
      <c r="D1" s="75"/>
      <c r="E1" s="75"/>
    </row>
    <row r="2" spans="1:6">
      <c r="A2" s="75"/>
      <c r="B2" s="229" t="str" cm="1">
        <f t="array" aca="1" ref="B2" ca="1">RIGHT(CELL("filename", A1), LEN(CELL("filename", A1)) - FIND("]", CELL("filename", A1)))</f>
        <v>Settings Page</v>
      </c>
      <c r="C2" s="230"/>
      <c r="D2" s="230"/>
      <c r="E2" s="231"/>
      <c r="F2" s="97">
        <f ca="1">VLOOKUP(B2,Master!B16:C38,2,FALSE)</f>
        <v>4</v>
      </c>
    </row>
    <row r="3" spans="1:6">
      <c r="A3" s="75"/>
    </row>
    <row r="4" spans="1:6">
      <c r="A4" s="75"/>
      <c r="B4" s="20" t="s">
        <v>80</v>
      </c>
      <c r="C4" s="216">
        <f>Master!$D$11</f>
        <v>0.9</v>
      </c>
      <c r="D4" s="228"/>
      <c r="E4" s="227"/>
      <c r="F4" s="17">
        <f ca="1">C4*F2</f>
        <v>3.6</v>
      </c>
    </row>
    <row r="5" spans="1:6">
      <c r="A5" s="75"/>
      <c r="B5" s="60" t="s">
        <v>222</v>
      </c>
      <c r="C5" s="60" t="s">
        <v>228</v>
      </c>
      <c r="D5" s="60" t="s">
        <v>9</v>
      </c>
      <c r="E5" s="60" t="s">
        <v>2</v>
      </c>
      <c r="F5" s="60" t="s">
        <v>11</v>
      </c>
    </row>
    <row r="6" spans="1:6">
      <c r="A6" s="75"/>
      <c r="B6" s="63" t="s">
        <v>323</v>
      </c>
      <c r="C6" s="13">
        <f t="shared" ref="C6:C17" ca="1" si="0">D6/$D$18*$F$4</f>
        <v>0.12413793103448276</v>
      </c>
      <c r="D6" s="64">
        <v>2</v>
      </c>
      <c r="E6" s="121">
        <v>4</v>
      </c>
      <c r="F6" s="65">
        <f ca="1">E6/4*C6</f>
        <v>0.12413793103448276</v>
      </c>
    </row>
    <row r="7" spans="1:6">
      <c r="A7" s="75"/>
      <c r="B7" s="63" t="s">
        <v>258</v>
      </c>
      <c r="C7" s="13">
        <f t="shared" ca="1" si="0"/>
        <v>6.2068965517241378E-2</v>
      </c>
      <c r="D7" s="64">
        <v>1</v>
      </c>
      <c r="E7" s="121">
        <v>4</v>
      </c>
      <c r="F7" s="65">
        <f t="shared" ref="F7" ca="1" si="1">E7/4*C7</f>
        <v>6.2068965517241378E-2</v>
      </c>
    </row>
    <row r="8" spans="1:6">
      <c r="A8" s="75"/>
      <c r="B8" s="63" t="s">
        <v>127</v>
      </c>
      <c r="C8" s="13">
        <f t="shared" ca="1" si="0"/>
        <v>0.62068965517241381</v>
      </c>
      <c r="D8" s="64">
        <v>10</v>
      </c>
      <c r="E8" s="121">
        <v>0</v>
      </c>
      <c r="F8" s="65">
        <f t="shared" ref="F8:F17" ca="1" si="2">E8/4*C8</f>
        <v>0</v>
      </c>
    </row>
    <row r="9" spans="1:6">
      <c r="A9" s="75"/>
      <c r="B9" s="63" t="s">
        <v>128</v>
      </c>
      <c r="C9" s="13">
        <f t="shared" ca="1" si="0"/>
        <v>0.62068965517241381</v>
      </c>
      <c r="D9" s="64">
        <v>10</v>
      </c>
      <c r="E9" s="121">
        <v>0</v>
      </c>
      <c r="F9" s="65">
        <f t="shared" ca="1" si="2"/>
        <v>0</v>
      </c>
    </row>
    <row r="10" spans="1:6">
      <c r="A10" s="75"/>
      <c r="B10" s="63" t="s">
        <v>129</v>
      </c>
      <c r="C10" s="13">
        <f t="shared" ca="1" si="0"/>
        <v>0.62068965517241381</v>
      </c>
      <c r="D10" s="64">
        <v>10</v>
      </c>
      <c r="E10" s="121">
        <v>0</v>
      </c>
      <c r="F10" s="65">
        <f t="shared" ca="1" si="2"/>
        <v>0</v>
      </c>
    </row>
    <row r="11" spans="1:6">
      <c r="A11" s="75"/>
      <c r="B11" s="63" t="s">
        <v>113</v>
      </c>
      <c r="C11" s="13">
        <f t="shared" ca="1" si="0"/>
        <v>0.24827586206896551</v>
      </c>
      <c r="D11" s="64">
        <v>4</v>
      </c>
      <c r="E11" s="121">
        <v>2</v>
      </c>
      <c r="F11" s="65">
        <f t="shared" ca="1" si="2"/>
        <v>0.12413793103448276</v>
      </c>
    </row>
    <row r="12" spans="1:6">
      <c r="A12" s="75"/>
      <c r="B12" s="63" t="s">
        <v>259</v>
      </c>
      <c r="C12" s="13">
        <f t="shared" ca="1" si="0"/>
        <v>0.24827586206896551</v>
      </c>
      <c r="D12" s="64">
        <v>4</v>
      </c>
      <c r="E12" s="121">
        <v>4</v>
      </c>
      <c r="F12" s="65">
        <f t="shared" ca="1" si="2"/>
        <v>0.24827586206896551</v>
      </c>
    </row>
    <row r="13" spans="1:6">
      <c r="A13" s="75"/>
      <c r="B13" s="63" t="s">
        <v>130</v>
      </c>
      <c r="C13" s="13">
        <f t="shared" ca="1" si="0"/>
        <v>0.24827586206896551</v>
      </c>
      <c r="D13" s="64">
        <v>4</v>
      </c>
      <c r="E13" s="121">
        <v>0</v>
      </c>
      <c r="F13" s="65">
        <f ca="1">E13/4*C13</f>
        <v>0</v>
      </c>
    </row>
    <row r="14" spans="1:6">
      <c r="A14" s="75"/>
      <c r="B14" s="63" t="s">
        <v>131</v>
      </c>
      <c r="C14" s="13">
        <f t="shared" ca="1" si="0"/>
        <v>0.3724137931034483</v>
      </c>
      <c r="D14" s="64">
        <v>6</v>
      </c>
      <c r="E14" s="121">
        <v>4</v>
      </c>
      <c r="F14" s="65">
        <f t="shared" ca="1" si="2"/>
        <v>0.3724137931034483</v>
      </c>
    </row>
    <row r="15" spans="1:6">
      <c r="A15" s="75"/>
      <c r="B15" s="63" t="s">
        <v>132</v>
      </c>
      <c r="C15" s="13">
        <f t="shared" ca="1" si="0"/>
        <v>6.2068965517241378E-2</v>
      </c>
      <c r="D15" s="64">
        <v>1</v>
      </c>
      <c r="E15" s="121">
        <v>4</v>
      </c>
      <c r="F15" s="65">
        <f t="shared" ca="1" si="2"/>
        <v>6.2068965517241378E-2</v>
      </c>
    </row>
    <row r="16" spans="1:6">
      <c r="A16" s="75"/>
      <c r="B16" s="22" t="s">
        <v>281</v>
      </c>
      <c r="C16" s="13">
        <f t="shared" ca="1" si="0"/>
        <v>0.18620689655172415</v>
      </c>
      <c r="D16" s="64">
        <v>3</v>
      </c>
      <c r="E16" s="122">
        <v>0</v>
      </c>
      <c r="F16" s="65">
        <f t="shared" ca="1" si="2"/>
        <v>0</v>
      </c>
    </row>
    <row r="17" spans="1:6">
      <c r="A17" s="75"/>
      <c r="B17" s="22" t="s">
        <v>282</v>
      </c>
      <c r="C17" s="13">
        <f t="shared" ca="1" si="0"/>
        <v>0.18620689655172415</v>
      </c>
      <c r="D17" s="64">
        <v>3</v>
      </c>
      <c r="E17" s="122">
        <v>0</v>
      </c>
      <c r="F17" s="65">
        <f t="shared" ca="1" si="2"/>
        <v>0</v>
      </c>
    </row>
    <row r="18" spans="1:6" ht="15.75" thickBot="1">
      <c r="A18" s="75"/>
      <c r="B18" s="61" t="s">
        <v>33</v>
      </c>
      <c r="C18" s="62">
        <f ca="1">SUM(C6:C17)</f>
        <v>3.6</v>
      </c>
      <c r="D18" s="62">
        <f>SUM(D6:D17)</f>
        <v>58</v>
      </c>
      <c r="E18" s="82"/>
      <c r="F18" s="83">
        <f ca="1">SUM(F6:F15)</f>
        <v>0.99310344827586217</v>
      </c>
    </row>
    <row r="19" spans="1:6" ht="15.75" thickTop="1">
      <c r="A19" s="75"/>
    </row>
    <row r="20" spans="1:6">
      <c r="A20" s="75"/>
      <c r="B20" s="20" t="s">
        <v>75</v>
      </c>
      <c r="C20" s="216">
        <f>Master!$D$12</f>
        <v>0.1</v>
      </c>
      <c r="D20" s="217"/>
      <c r="E20" s="218"/>
      <c r="F20" s="17">
        <f ca="1">C20*F2</f>
        <v>0.4</v>
      </c>
    </row>
    <row r="21" spans="1:6">
      <c r="A21" s="75"/>
      <c r="B21" s="21" t="s">
        <v>222</v>
      </c>
      <c r="C21" s="21" t="s">
        <v>228</v>
      </c>
      <c r="D21" s="21" t="s">
        <v>9</v>
      </c>
      <c r="E21" s="21" t="s">
        <v>2</v>
      </c>
      <c r="F21" s="60" t="s">
        <v>11</v>
      </c>
    </row>
    <row r="22" spans="1:6">
      <c r="A22" s="75"/>
      <c r="B22" s="67" t="s">
        <v>76</v>
      </c>
      <c r="C22" s="23">
        <f ca="1">D22/$D$27*$F$20</f>
        <v>0.05</v>
      </c>
      <c r="D22" s="24">
        <v>15</v>
      </c>
      <c r="E22" s="121">
        <v>3</v>
      </c>
      <c r="F22" s="25">
        <f ca="1">E22/4 * C22</f>
        <v>3.7500000000000006E-2</v>
      </c>
    </row>
    <row r="23" spans="1:6">
      <c r="A23" s="75"/>
      <c r="B23" s="67" t="s">
        <v>78</v>
      </c>
      <c r="C23" s="23">
        <f ca="1">D23/$D$27*$F$20</f>
        <v>0.1</v>
      </c>
      <c r="D23" s="24">
        <v>30</v>
      </c>
      <c r="E23" s="121">
        <v>3</v>
      </c>
      <c r="F23" s="25">
        <f ca="1">E23/4 * C23</f>
        <v>7.5000000000000011E-2</v>
      </c>
    </row>
    <row r="24" spans="1:6">
      <c r="A24" s="75"/>
      <c r="B24" s="67" t="s">
        <v>77</v>
      </c>
      <c r="C24" s="23">
        <f ca="1">D24/$D$27*$F$20</f>
        <v>0.05</v>
      </c>
      <c r="D24" s="24">
        <v>15</v>
      </c>
      <c r="E24" s="121">
        <v>3</v>
      </c>
      <c r="F24" s="25">
        <f ca="1">E24/4 * C24</f>
        <v>3.7500000000000006E-2</v>
      </c>
    </row>
    <row r="25" spans="1:6">
      <c r="A25" s="75"/>
      <c r="B25" s="68" t="s">
        <v>231</v>
      </c>
      <c r="C25" s="23">
        <f ca="1">D25/$D$27*$F$20</f>
        <v>0.1</v>
      </c>
      <c r="D25" s="24">
        <v>30</v>
      </c>
      <c r="E25" s="121">
        <v>3</v>
      </c>
      <c r="F25" s="25">
        <f ca="1">E25/4 * C25</f>
        <v>7.5000000000000011E-2</v>
      </c>
    </row>
    <row r="26" spans="1:6" ht="15.75" customHeight="1">
      <c r="A26" s="75"/>
      <c r="B26" s="68" t="s">
        <v>232</v>
      </c>
      <c r="C26" s="23">
        <f ca="1">D26/$D$27*$F$20</f>
        <v>0.1</v>
      </c>
      <c r="D26" s="24">
        <v>30</v>
      </c>
      <c r="E26" s="121">
        <v>3</v>
      </c>
      <c r="F26" s="25">
        <f ca="1">E26/4 * C26</f>
        <v>7.5000000000000011E-2</v>
      </c>
    </row>
    <row r="27" spans="1:6" ht="15.75" customHeight="1" thickBot="1">
      <c r="B27" s="33" t="s">
        <v>33</v>
      </c>
      <c r="C27" s="34">
        <f ca="1">SUM(C22:C26)</f>
        <v>0.4</v>
      </c>
      <c r="D27" s="34">
        <f>SUM(D22:D26)</f>
        <v>120</v>
      </c>
      <c r="E27" s="35"/>
      <c r="F27" s="34">
        <f ca="1">SUM(F22:F26)</f>
        <v>0.30000000000000004</v>
      </c>
    </row>
    <row r="28" spans="1:6" ht="15.75" customHeight="1" thickTop="1"/>
    <row r="29" spans="1:6" ht="15.75" customHeight="1" thickBot="1">
      <c r="B29" s="238" t="s">
        <v>219</v>
      </c>
      <c r="C29" s="238"/>
      <c r="D29" s="238"/>
      <c r="E29" s="238"/>
      <c r="F29" s="107">
        <f ca="1">SUM(,F18,F27)</f>
        <v>1.2931034482758621</v>
      </c>
    </row>
    <row r="30" spans="1:6" ht="15.75" customHeight="1" thickTop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4">
    <mergeCell ref="B29:E29"/>
    <mergeCell ref="C4:E4"/>
    <mergeCell ref="C20:E20"/>
    <mergeCell ref="B2:E2"/>
  </mergeCells>
  <dataValidations count="1">
    <dataValidation type="decimal" allowBlank="1" showErrorMessage="1" sqref="E22:E26 E6:E17" xr:uid="{18A1D2BE-C4EC-4196-8156-449AF6123560}">
      <formula1>0</formula1>
      <formula2>4</formula2>
    </dataValidation>
  </dataValidations>
  <pageMargins left="0.7" right="0.7" top="0.75" bottom="0.75" header="0" footer="0"/>
  <pageSetup paperSize="9"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D1AF-2E83-4DA9-986C-5A2BC6FAD1E6}">
  <sheetPr>
    <tabColor rgb="FFC00000"/>
  </sheetPr>
  <dimension ref="A1:F996"/>
  <sheetViews>
    <sheetView zoomScale="120" zoomScaleNormal="120" workbookViewId="0">
      <selection activeCell="E12" sqref="E12"/>
    </sheetView>
  </sheetViews>
  <sheetFormatPr defaultColWidth="14.42578125" defaultRowHeight="15" customHeight="1"/>
  <cols>
    <col min="1" max="1" width="11.42578125" style="5" customWidth="1"/>
    <col min="2" max="2" width="39.7109375" style="5" bestFit="1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7" width="15.85546875" style="5" bestFit="1" customWidth="1"/>
    <col min="8" max="8" width="17.42578125" style="5" bestFit="1" customWidth="1"/>
    <col min="9" max="26" width="11.42578125" style="5" customWidth="1"/>
    <col min="27" max="16384" width="14.42578125" style="5"/>
  </cols>
  <sheetData>
    <row r="1" spans="1:6">
      <c r="A1" s="75"/>
      <c r="B1" s="75"/>
      <c r="C1" s="75"/>
      <c r="D1" s="75"/>
      <c r="E1" s="75"/>
    </row>
    <row r="2" spans="1:6">
      <c r="A2" s="75"/>
      <c r="B2" s="246" t="str" cm="1">
        <f t="array" aca="1" ref="B2" ca="1">RIGHT(CELL("filename", A12), LEN(CELL("filename", A12)) - FIND("]", CELL("filename", A12)))</f>
        <v>Advertisement</v>
      </c>
      <c r="C2" s="247"/>
      <c r="D2" s="247"/>
      <c r="E2" s="248"/>
      <c r="F2" s="101">
        <f ca="1">VLOOKUP(B2,Master!B27:C49,2,FALSE)</f>
        <v>1</v>
      </c>
    </row>
    <row r="3" spans="1:6">
      <c r="A3" s="75"/>
      <c r="B3" s="60" t="s">
        <v>222</v>
      </c>
      <c r="C3" s="60" t="s">
        <v>228</v>
      </c>
      <c r="D3" s="60" t="s">
        <v>9</v>
      </c>
      <c r="E3" s="60" t="s">
        <v>2</v>
      </c>
      <c r="F3" s="60" t="s">
        <v>11</v>
      </c>
    </row>
    <row r="4" spans="1:6">
      <c r="A4" s="75"/>
      <c r="B4" s="55" t="s">
        <v>340</v>
      </c>
      <c r="C4" s="13">
        <f ca="1">D4/$D$6*$F$2</f>
        <v>0.2857142857142857</v>
      </c>
      <c r="D4" s="64">
        <v>4</v>
      </c>
      <c r="E4" s="122">
        <v>4</v>
      </c>
      <c r="F4" s="65">
        <f ca="1">E4/4*C4</f>
        <v>0.2857142857142857</v>
      </c>
    </row>
    <row r="5" spans="1:6">
      <c r="A5" s="75"/>
      <c r="B5" s="55" t="s">
        <v>341</v>
      </c>
      <c r="C5" s="13">
        <f ca="1">D5/$D$6*$F$2</f>
        <v>0.7142857142857143</v>
      </c>
      <c r="D5" s="64">
        <v>10</v>
      </c>
      <c r="E5" s="122">
        <v>4</v>
      </c>
      <c r="F5" s="65">
        <f t="shared" ref="F5" ca="1" si="0">E5/4*C5</f>
        <v>0.7142857142857143</v>
      </c>
    </row>
    <row r="6" spans="1:6" ht="15.75" thickBot="1">
      <c r="A6" s="75"/>
      <c r="B6" s="61" t="s">
        <v>33</v>
      </c>
      <c r="C6" s="62">
        <f ca="1">SUM(C4:C5)</f>
        <v>1</v>
      </c>
      <c r="D6" s="62">
        <f>SUM(D4:D5)</f>
        <v>14</v>
      </c>
      <c r="E6" s="82"/>
      <c r="F6" s="69">
        <f ca="1">SUM(F4:F5)</f>
        <v>1</v>
      </c>
    </row>
    <row r="7" spans="1:6" ht="15.75" thickTop="1">
      <c r="A7" s="75"/>
    </row>
    <row r="8" spans="1:6">
      <c r="A8" s="75"/>
    </row>
    <row r="9" spans="1:6">
      <c r="A9" s="75"/>
    </row>
    <row r="10" spans="1:6">
      <c r="A10" s="75"/>
    </row>
    <row r="11" spans="1:6">
      <c r="A11" s="75"/>
    </row>
    <row r="12" spans="1:6">
      <c r="A12" s="75"/>
    </row>
    <row r="13" spans="1:6">
      <c r="A13" s="75"/>
    </row>
    <row r="14" spans="1:6">
      <c r="A14" s="75"/>
    </row>
    <row r="15" spans="1:6">
      <c r="A15" s="75"/>
    </row>
    <row r="16" spans="1:6">
      <c r="A16" s="75"/>
    </row>
    <row r="17" spans="1:1" ht="15.75" customHeight="1">
      <c r="A17" s="75"/>
    </row>
    <row r="18" spans="1:1"/>
    <row r="19" spans="1:1"/>
    <row r="20" spans="1:1" ht="15.75" customHeight="1"/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/>
    <row r="28" spans="1:1"/>
    <row r="29" spans="1: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B2:E2"/>
  </mergeCells>
  <dataValidations count="1">
    <dataValidation type="decimal" allowBlank="1" showErrorMessage="1" sqref="E4:E5" xr:uid="{9CC07F40-0075-4161-95D0-236E2629CB3F}">
      <formula1>0</formula1>
      <formula2>4</formula2>
    </dataValidation>
  </dataValidations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2123-1BD9-4DB0-9C2B-B60ABC014EEC}">
  <sheetPr>
    <tabColor rgb="FFC00000"/>
  </sheetPr>
  <dimension ref="A1:G1012"/>
  <sheetViews>
    <sheetView zoomScale="120" zoomScaleNormal="120" workbookViewId="0">
      <selection activeCell="K10" sqref="K10"/>
    </sheetView>
  </sheetViews>
  <sheetFormatPr defaultColWidth="14.42578125" defaultRowHeight="15" customHeight="1"/>
  <cols>
    <col min="1" max="1" width="11.42578125" style="5" customWidth="1"/>
    <col min="2" max="2" width="39.7109375" style="5" bestFit="1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7" width="15.85546875" style="5" bestFit="1" customWidth="1"/>
    <col min="8" max="8" width="18.42578125" style="5" bestFit="1" customWidth="1"/>
    <col min="9" max="26" width="11.42578125" style="5" customWidth="1"/>
    <col min="27" max="16384" width="14.42578125" style="5"/>
  </cols>
  <sheetData>
    <row r="1" spans="1:6">
      <c r="A1" s="75"/>
      <c r="B1" s="75"/>
      <c r="C1" s="75"/>
      <c r="D1" s="75"/>
      <c r="E1" s="75"/>
    </row>
    <row r="2" spans="1:6">
      <c r="A2" s="75"/>
      <c r="B2" s="229" t="str" cm="1">
        <f t="array" aca="1" ref="B2" ca="1">RIGHT(CELL("filename", A1), LEN(CELL("filename", A1)) - FIND("]", CELL("filename", A1)))</f>
        <v>Studio Upload Page</v>
      </c>
      <c r="C2" s="230"/>
      <c r="D2" s="230"/>
      <c r="E2" s="231"/>
      <c r="F2" s="97">
        <f ca="1">VLOOKUP(B2,Master!B16:C38,2,FALSE)</f>
        <v>5</v>
      </c>
    </row>
    <row r="3" spans="1:6">
      <c r="A3" s="75"/>
    </row>
    <row r="4" spans="1:6">
      <c r="A4" s="75"/>
      <c r="B4" s="20" t="s">
        <v>80</v>
      </c>
      <c r="C4" s="216">
        <f>Master!$D$11</f>
        <v>0.9</v>
      </c>
      <c r="D4" s="228"/>
      <c r="E4" s="227"/>
      <c r="F4" s="17">
        <f ca="1">C4*F2</f>
        <v>4.5</v>
      </c>
    </row>
    <row r="5" spans="1:6">
      <c r="A5" s="75"/>
      <c r="B5" s="60" t="s">
        <v>222</v>
      </c>
      <c r="C5" s="60" t="s">
        <v>228</v>
      </c>
      <c r="D5" s="60" t="s">
        <v>9</v>
      </c>
      <c r="E5" s="60" t="s">
        <v>2</v>
      </c>
      <c r="F5" s="60" t="s">
        <v>11</v>
      </c>
    </row>
    <row r="6" spans="1:6">
      <c r="A6" s="75"/>
      <c r="B6" s="55" t="s">
        <v>91</v>
      </c>
      <c r="C6" s="13">
        <f t="shared" ref="C6:C19" ca="1" si="0">D6/$D$20*$F$4</f>
        <v>6.25E-2</v>
      </c>
      <c r="D6" s="56">
        <v>1</v>
      </c>
      <c r="E6" s="122">
        <v>4</v>
      </c>
      <c r="F6" s="65">
        <f ca="1">E6/4*C6</f>
        <v>6.25E-2</v>
      </c>
    </row>
    <row r="7" spans="1:6">
      <c r="A7" s="75"/>
      <c r="B7" s="63" t="s">
        <v>323</v>
      </c>
      <c r="C7" s="13">
        <f t="shared" ca="1" si="0"/>
        <v>6.25E-2</v>
      </c>
      <c r="D7" s="56">
        <v>1</v>
      </c>
      <c r="E7" s="122">
        <v>4</v>
      </c>
      <c r="F7" s="65">
        <f ca="1">E7/4*C7</f>
        <v>6.25E-2</v>
      </c>
    </row>
    <row r="8" spans="1:6">
      <c r="A8" s="75"/>
      <c r="B8" s="55" t="s">
        <v>342</v>
      </c>
      <c r="C8" s="13">
        <f t="shared" ca="1" si="0"/>
        <v>0.625</v>
      </c>
      <c r="D8" s="56">
        <v>10</v>
      </c>
      <c r="E8" s="122">
        <v>4</v>
      </c>
      <c r="F8" s="65">
        <f t="shared" ref="F8:F19" ca="1" si="1">E8/4*C8</f>
        <v>0.625</v>
      </c>
    </row>
    <row r="9" spans="1:6">
      <c r="A9" s="75"/>
      <c r="B9" s="55" t="s">
        <v>343</v>
      </c>
      <c r="C9" s="13">
        <f t="shared" ca="1" si="0"/>
        <v>0.625</v>
      </c>
      <c r="D9" s="56">
        <v>10</v>
      </c>
      <c r="E9" s="122">
        <v>0</v>
      </c>
      <c r="F9" s="65">
        <f t="shared" ca="1" si="1"/>
        <v>0</v>
      </c>
    </row>
    <row r="10" spans="1:6">
      <c r="A10" s="75"/>
      <c r="B10" s="55" t="s">
        <v>344</v>
      </c>
      <c r="C10" s="13">
        <f t="shared" ca="1" si="0"/>
        <v>0.625</v>
      </c>
      <c r="D10" s="56">
        <v>10</v>
      </c>
      <c r="E10" s="122">
        <v>4</v>
      </c>
      <c r="F10" s="65">
        <f t="shared" ca="1" si="1"/>
        <v>0.625</v>
      </c>
    </row>
    <row r="11" spans="1:6">
      <c r="A11" s="75"/>
      <c r="B11" s="55" t="s">
        <v>345</v>
      </c>
      <c r="C11" s="13">
        <f t="shared" ca="1" si="0"/>
        <v>0.125</v>
      </c>
      <c r="D11" s="56">
        <v>2</v>
      </c>
      <c r="E11" s="122">
        <v>4</v>
      </c>
      <c r="F11" s="65">
        <f t="shared" ca="1" si="1"/>
        <v>0.125</v>
      </c>
    </row>
    <row r="12" spans="1:6">
      <c r="A12" s="75"/>
      <c r="B12" s="55" t="s">
        <v>346</v>
      </c>
      <c r="C12" s="13">
        <f t="shared" ca="1" si="0"/>
        <v>0.5</v>
      </c>
      <c r="D12" s="56">
        <v>8</v>
      </c>
      <c r="E12" s="122">
        <v>4</v>
      </c>
      <c r="F12" s="65">
        <f t="shared" ca="1" si="1"/>
        <v>0.5</v>
      </c>
    </row>
    <row r="13" spans="1:6">
      <c r="A13" s="75"/>
      <c r="B13" s="55" t="s">
        <v>347</v>
      </c>
      <c r="C13" s="13">
        <f t="shared" ca="1" si="0"/>
        <v>0.3125</v>
      </c>
      <c r="D13" s="56">
        <v>5</v>
      </c>
      <c r="E13" s="122">
        <v>4</v>
      </c>
      <c r="F13" s="65">
        <f t="shared" ca="1" si="1"/>
        <v>0.3125</v>
      </c>
    </row>
    <row r="14" spans="1:6">
      <c r="A14" s="75"/>
      <c r="B14" s="55" t="s">
        <v>348</v>
      </c>
      <c r="C14" s="13">
        <f t="shared" ca="1" si="0"/>
        <v>0.1875</v>
      </c>
      <c r="D14" s="56">
        <v>3</v>
      </c>
      <c r="E14" s="122">
        <v>1</v>
      </c>
      <c r="F14" s="65">
        <f t="shared" ca="1" si="1"/>
        <v>4.6875E-2</v>
      </c>
    </row>
    <row r="15" spans="1:6">
      <c r="A15" s="75"/>
      <c r="B15" s="55" t="s">
        <v>349</v>
      </c>
      <c r="C15" s="13">
        <f t="shared" ca="1" si="0"/>
        <v>0.3125</v>
      </c>
      <c r="D15" s="56">
        <v>5</v>
      </c>
      <c r="E15" s="122">
        <v>0</v>
      </c>
      <c r="F15" s="65">
        <f t="shared" ca="1" si="1"/>
        <v>0</v>
      </c>
    </row>
    <row r="16" spans="1:6">
      <c r="A16" s="75"/>
      <c r="B16" s="55" t="s">
        <v>116</v>
      </c>
      <c r="C16" s="13">
        <f t="shared" ca="1" si="0"/>
        <v>0.3125</v>
      </c>
      <c r="D16" s="56">
        <v>5</v>
      </c>
      <c r="E16" s="122">
        <v>2</v>
      </c>
      <c r="F16" s="65">
        <f t="shared" ca="1" si="1"/>
        <v>0.15625</v>
      </c>
    </row>
    <row r="17" spans="1:7">
      <c r="A17" s="75"/>
      <c r="B17" s="55" t="s">
        <v>350</v>
      </c>
      <c r="C17" s="13">
        <f t="shared" ca="1" si="0"/>
        <v>0.3125</v>
      </c>
      <c r="D17" s="56">
        <v>5</v>
      </c>
      <c r="E17" s="122">
        <v>4</v>
      </c>
      <c r="F17" s="65">
        <f t="shared" ca="1" si="1"/>
        <v>0.3125</v>
      </c>
    </row>
    <row r="18" spans="1:7">
      <c r="A18" s="75"/>
      <c r="B18" s="55" t="s">
        <v>351</v>
      </c>
      <c r="C18" s="13">
        <f t="shared" ca="1" si="0"/>
        <v>6.25E-2</v>
      </c>
      <c r="D18" s="56">
        <v>1</v>
      </c>
      <c r="E18" s="122">
        <v>0</v>
      </c>
      <c r="F18" s="65">
        <f t="shared" ca="1" si="1"/>
        <v>0</v>
      </c>
    </row>
    <row r="19" spans="1:7">
      <c r="A19" s="75"/>
      <c r="B19" s="55" t="s">
        <v>133</v>
      </c>
      <c r="C19" s="13">
        <f t="shared" ca="1" si="0"/>
        <v>0.375</v>
      </c>
      <c r="D19" s="56">
        <v>6</v>
      </c>
      <c r="E19" s="122">
        <v>4</v>
      </c>
      <c r="F19" s="65">
        <f t="shared" ca="1" si="1"/>
        <v>0.375</v>
      </c>
    </row>
    <row r="20" spans="1:7" ht="15.75" thickBot="1">
      <c r="A20" s="75"/>
      <c r="B20" s="61" t="s">
        <v>33</v>
      </c>
      <c r="C20" s="62">
        <f ca="1">SUM(C6:C19)</f>
        <v>4.5</v>
      </c>
      <c r="D20" s="62">
        <f>SUM(D6:D19)</f>
        <v>72</v>
      </c>
      <c r="E20" s="82"/>
      <c r="F20" s="83">
        <f ca="1">SUM(F6:F19)</f>
        <v>3.203125</v>
      </c>
    </row>
    <row r="21" spans="1:7" ht="15.75" thickTop="1">
      <c r="A21" s="75"/>
    </row>
    <row r="22" spans="1:7">
      <c r="A22" s="75"/>
      <c r="B22" s="20" t="s">
        <v>75</v>
      </c>
      <c r="C22" s="216">
        <f>Master!$D$12</f>
        <v>0.1</v>
      </c>
      <c r="D22" s="217"/>
      <c r="E22" s="218"/>
      <c r="F22" s="17">
        <f ca="1">C22*F2</f>
        <v>0.5</v>
      </c>
    </row>
    <row r="23" spans="1:7">
      <c r="A23" s="75"/>
      <c r="B23" s="21" t="s">
        <v>222</v>
      </c>
      <c r="C23" s="21" t="s">
        <v>228</v>
      </c>
      <c r="D23" s="21" t="s">
        <v>9</v>
      </c>
      <c r="E23" s="21" t="s">
        <v>2</v>
      </c>
      <c r="F23" s="60" t="s">
        <v>11</v>
      </c>
    </row>
    <row r="24" spans="1:7">
      <c r="A24" s="75"/>
      <c r="B24" s="67" t="s">
        <v>76</v>
      </c>
      <c r="C24" s="23">
        <f ca="1">D24/$D$29*$F$22</f>
        <v>0.1</v>
      </c>
      <c r="D24" s="24">
        <v>2</v>
      </c>
      <c r="E24" s="122">
        <v>3</v>
      </c>
      <c r="F24" s="25">
        <f ca="1">E24/4 * C24</f>
        <v>7.5000000000000011E-2</v>
      </c>
    </row>
    <row r="25" spans="1:7">
      <c r="A25" s="75"/>
      <c r="B25" s="67" t="s">
        <v>77</v>
      </c>
      <c r="C25" s="23">
        <f ca="1">D25/$D$29*$F$22</f>
        <v>0.15</v>
      </c>
      <c r="D25" s="24">
        <v>3</v>
      </c>
      <c r="E25" s="122">
        <v>3</v>
      </c>
      <c r="F25" s="25">
        <f ca="1">E25/4 * C25</f>
        <v>0.11249999999999999</v>
      </c>
      <c r="G25" s="5" t="s">
        <v>234</v>
      </c>
    </row>
    <row r="26" spans="1:7">
      <c r="A26" s="75"/>
      <c r="B26" s="55" t="s">
        <v>78</v>
      </c>
      <c r="C26" s="23">
        <f ca="1">D26/$D$29*$F$22</f>
        <v>0.15</v>
      </c>
      <c r="D26" s="24">
        <v>3</v>
      </c>
      <c r="E26" s="122">
        <v>3</v>
      </c>
      <c r="F26" s="25">
        <f ca="1">E26/4 * C26</f>
        <v>0.11249999999999999</v>
      </c>
    </row>
    <row r="27" spans="1:7">
      <c r="A27" s="75"/>
      <c r="B27" s="68" t="s">
        <v>231</v>
      </c>
      <c r="C27" s="23">
        <f ca="1">D27/$D$29*$F$22</f>
        <v>0.05</v>
      </c>
      <c r="D27" s="24">
        <v>1</v>
      </c>
      <c r="E27" s="122">
        <v>3</v>
      </c>
      <c r="F27" s="25">
        <f ca="1">E27/4 * C27</f>
        <v>3.7500000000000006E-2</v>
      </c>
    </row>
    <row r="28" spans="1:7">
      <c r="A28" s="75"/>
      <c r="B28" s="68" t="s">
        <v>232</v>
      </c>
      <c r="C28" s="23">
        <f ca="1">D28/$D$29*$F$22</f>
        <v>0.05</v>
      </c>
      <c r="D28" s="24">
        <v>1</v>
      </c>
      <c r="E28" s="122">
        <v>3</v>
      </c>
      <c r="F28" s="25">
        <f ca="1">E28/4 * C28</f>
        <v>3.7500000000000006E-2</v>
      </c>
    </row>
    <row r="29" spans="1:7" ht="15.75" thickBot="1">
      <c r="A29" s="75"/>
      <c r="B29" s="33" t="s">
        <v>33</v>
      </c>
      <c r="C29" s="34">
        <f ca="1">SUM(C24:C28)</f>
        <v>0.5</v>
      </c>
      <c r="D29" s="34">
        <f>SUM(D24:D28)</f>
        <v>10</v>
      </c>
      <c r="E29" s="35"/>
      <c r="F29" s="34">
        <f ca="1">SUM(F24:F28)</f>
        <v>0.375</v>
      </c>
    </row>
    <row r="30" spans="1:7" ht="15.75" thickTop="1">
      <c r="A30" s="75"/>
    </row>
    <row r="31" spans="1:7" ht="15.75" thickBot="1">
      <c r="A31" s="75"/>
      <c r="B31" s="238" t="s">
        <v>219</v>
      </c>
      <c r="C31" s="238"/>
      <c r="D31" s="238"/>
      <c r="E31" s="238"/>
      <c r="F31" s="107">
        <f ca="1">SUM(F20,F29)</f>
        <v>3.578125</v>
      </c>
    </row>
    <row r="32" spans="1:7" ht="15.75" thickTop="1">
      <c r="A32" s="75"/>
    </row>
    <row r="33" spans="1:1" ht="15.75" customHeight="1">
      <c r="A33" s="75"/>
    </row>
    <row r="34" spans="1:1" ht="15.75" customHeight="1"/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4">
    <mergeCell ref="B31:E31"/>
    <mergeCell ref="C4:E4"/>
    <mergeCell ref="C22:E22"/>
    <mergeCell ref="B2:E2"/>
  </mergeCells>
  <dataValidations count="1">
    <dataValidation type="decimal" allowBlank="1" showErrorMessage="1" sqref="E6:E19 E24:E28" xr:uid="{7334D9B2-CDFA-4ACC-9DF5-83BE1652DEE7}">
      <formula1>0</formula1>
      <formula2>4</formula2>
    </dataValidation>
  </dataValidations>
  <pageMargins left="0.7" right="0.7" top="0.75" bottom="0.75" header="0" footer="0"/>
  <pageSetup paperSize="9" orientation="portrait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D32C-9AB7-4A8E-AEEE-89AB4C65CD2E}">
  <sheetPr>
    <tabColor rgb="FFC00000"/>
  </sheetPr>
  <dimension ref="A1:I1013"/>
  <sheetViews>
    <sheetView topLeftCell="A5" zoomScale="120" zoomScaleNormal="120" workbookViewId="0">
      <selection activeCell="H16" sqref="H16"/>
    </sheetView>
  </sheetViews>
  <sheetFormatPr defaultColWidth="14.42578125" defaultRowHeight="15" customHeight="1"/>
  <cols>
    <col min="1" max="1" width="11.42578125" style="5" customWidth="1"/>
    <col min="2" max="2" width="39.7109375" style="5" bestFit="1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7" width="15.85546875" style="5" bestFit="1" customWidth="1"/>
    <col min="8" max="8" width="18.42578125" style="5" bestFit="1" customWidth="1"/>
    <col min="9" max="26" width="11.42578125" style="5" customWidth="1"/>
    <col min="27" max="16384" width="14.42578125" style="5"/>
  </cols>
  <sheetData>
    <row r="1" spans="1:9">
      <c r="A1" s="75"/>
      <c r="B1" s="75"/>
      <c r="C1" s="75"/>
      <c r="D1" s="75"/>
      <c r="E1" s="75"/>
    </row>
    <row r="2" spans="1:9">
      <c r="A2" s="75"/>
      <c r="B2" s="229" t="str" cm="1">
        <f t="array" aca="1" ref="B2" ca="1">RIGHT(CELL("filename", A1), LEN(CELL("filename", A1)) - FIND("]", CELL("filename", A1)))</f>
        <v>Studio Post Page</v>
      </c>
      <c r="C2" s="230"/>
      <c r="D2" s="230"/>
      <c r="E2" s="231"/>
      <c r="F2" s="97">
        <f ca="1">VLOOKUP(B2,Master!B16:C38,2,FALSE)</f>
        <v>4</v>
      </c>
    </row>
    <row r="3" spans="1:9">
      <c r="A3" s="75"/>
    </row>
    <row r="4" spans="1:9">
      <c r="A4" s="75"/>
      <c r="B4" s="20" t="s">
        <v>80</v>
      </c>
      <c r="C4" s="216">
        <f>Master!$D$11</f>
        <v>0.9</v>
      </c>
      <c r="D4" s="228"/>
      <c r="E4" s="227"/>
      <c r="F4" s="17">
        <f ca="1">C4*F2</f>
        <v>3.6</v>
      </c>
    </row>
    <row r="5" spans="1:9">
      <c r="A5" s="75"/>
      <c r="B5" s="60" t="s">
        <v>222</v>
      </c>
      <c r="C5" s="60" t="s">
        <v>228</v>
      </c>
      <c r="D5" s="60" t="s">
        <v>9</v>
      </c>
      <c r="E5" s="60" t="s">
        <v>2</v>
      </c>
      <c r="F5" s="60" t="s">
        <v>11</v>
      </c>
    </row>
    <row r="6" spans="1:9">
      <c r="A6" s="75"/>
      <c r="B6" s="55" t="s">
        <v>91</v>
      </c>
      <c r="C6" s="13">
        <f t="shared" ref="C6:C25" ca="1" si="0">D6/$D$26*$F$4</f>
        <v>4.3902439024390248E-2</v>
      </c>
      <c r="D6" s="56">
        <v>1</v>
      </c>
      <c r="E6" s="122">
        <v>4</v>
      </c>
      <c r="F6" s="65">
        <f ca="1">E6/4*C6</f>
        <v>4.3902439024390248E-2</v>
      </c>
    </row>
    <row r="7" spans="1:9">
      <c r="A7" s="75"/>
      <c r="B7" s="63" t="s">
        <v>323</v>
      </c>
      <c r="C7" s="13">
        <f t="shared" ca="1" si="0"/>
        <v>4.3902439024390248E-2</v>
      </c>
      <c r="D7" s="73">
        <v>1</v>
      </c>
      <c r="E7" s="122">
        <v>4</v>
      </c>
      <c r="F7" s="65">
        <f ca="1">E7/4*C7</f>
        <v>4.3902439024390248E-2</v>
      </c>
    </row>
    <row r="8" spans="1:9">
      <c r="A8" s="75"/>
      <c r="B8" s="55" t="s">
        <v>353</v>
      </c>
      <c r="C8" s="13">
        <f t="shared" ca="1" si="0"/>
        <v>0.13170731707317074</v>
      </c>
      <c r="D8" s="56">
        <v>3</v>
      </c>
      <c r="E8" s="122">
        <v>4</v>
      </c>
      <c r="F8" s="65">
        <f t="shared" ref="F8:F25" ca="1" si="1">E8/4*C8</f>
        <v>0.13170731707317074</v>
      </c>
      <c r="H8" s="134" t="s">
        <v>322</v>
      </c>
      <c r="I8" s="134" t="s">
        <v>96</v>
      </c>
    </row>
    <row r="9" spans="1:9">
      <c r="A9" s="75"/>
      <c r="B9" s="55" t="s">
        <v>354</v>
      </c>
      <c r="C9" s="13">
        <f t="shared" ca="1" si="0"/>
        <v>0.21951219512195122</v>
      </c>
      <c r="D9" s="56">
        <v>5</v>
      </c>
      <c r="E9" s="4">
        <f>H9/I9*4</f>
        <v>3</v>
      </c>
      <c r="F9" s="65">
        <f t="shared" ca="1" si="1"/>
        <v>0.16463414634146342</v>
      </c>
      <c r="H9" s="138">
        <v>9</v>
      </c>
      <c r="I9" s="136">
        <v>12</v>
      </c>
    </row>
    <row r="10" spans="1:9">
      <c r="A10" s="75"/>
      <c r="B10" s="55" t="s">
        <v>352</v>
      </c>
      <c r="C10" s="13">
        <f t="shared" ca="1" si="0"/>
        <v>0.13170731707317074</v>
      </c>
      <c r="D10" s="56">
        <v>3</v>
      </c>
      <c r="E10" s="122">
        <v>4</v>
      </c>
      <c r="F10" s="65">
        <f t="shared" ca="1" si="1"/>
        <v>0.13170731707317074</v>
      </c>
    </row>
    <row r="11" spans="1:9">
      <c r="A11" s="75"/>
      <c r="B11" s="55" t="s">
        <v>355</v>
      </c>
      <c r="C11" s="13">
        <f t="shared" ca="1" si="0"/>
        <v>0.21951219512195122</v>
      </c>
      <c r="D11" s="56">
        <v>5</v>
      </c>
      <c r="E11" s="4">
        <f>H11/I11*4</f>
        <v>3.3333333333333335</v>
      </c>
      <c r="F11" s="65">
        <f t="shared" ca="1" si="1"/>
        <v>0.18292682926829268</v>
      </c>
      <c r="H11" s="138">
        <v>5</v>
      </c>
      <c r="I11" s="136">
        <v>6</v>
      </c>
    </row>
    <row r="12" spans="1:9">
      <c r="A12" s="75"/>
      <c r="B12" s="55" t="s">
        <v>134</v>
      </c>
      <c r="C12" s="13">
        <f t="shared" ca="1" si="0"/>
        <v>0.43902439024390244</v>
      </c>
      <c r="D12" s="56">
        <v>10</v>
      </c>
      <c r="E12" s="122">
        <v>2</v>
      </c>
      <c r="F12" s="65">
        <f t="shared" ca="1" si="1"/>
        <v>0.21951219512195122</v>
      </c>
    </row>
    <row r="13" spans="1:9">
      <c r="A13" s="75"/>
      <c r="B13" s="55" t="s">
        <v>135</v>
      </c>
      <c r="C13" s="13">
        <f t="shared" ca="1" si="0"/>
        <v>0.43902439024390244</v>
      </c>
      <c r="D13" s="56">
        <v>10</v>
      </c>
      <c r="E13" s="122">
        <v>2</v>
      </c>
      <c r="F13" s="65">
        <f t="shared" ca="1" si="1"/>
        <v>0.21951219512195122</v>
      </c>
    </row>
    <row r="14" spans="1:9">
      <c r="A14" s="75"/>
      <c r="B14" s="55" t="s">
        <v>136</v>
      </c>
      <c r="C14" s="13">
        <f t="shared" ca="1" si="0"/>
        <v>0.26341463414634148</v>
      </c>
      <c r="D14" s="56">
        <v>6</v>
      </c>
      <c r="E14" s="122">
        <v>2</v>
      </c>
      <c r="F14" s="65">
        <f t="shared" ca="1" si="1"/>
        <v>0.13170731707317074</v>
      </c>
    </row>
    <row r="15" spans="1:9">
      <c r="A15" s="75"/>
      <c r="B15" s="55" t="s">
        <v>137</v>
      </c>
      <c r="C15" s="13">
        <f t="shared" ca="1" si="0"/>
        <v>0.26341463414634148</v>
      </c>
      <c r="D15" s="56">
        <v>6</v>
      </c>
      <c r="E15" s="122">
        <v>2</v>
      </c>
      <c r="F15" s="65">
        <f t="shared" ca="1" si="1"/>
        <v>0.13170731707317074</v>
      </c>
    </row>
    <row r="16" spans="1:9">
      <c r="A16" s="75"/>
      <c r="B16" s="55" t="s">
        <v>138</v>
      </c>
      <c r="C16" s="13">
        <f t="shared" ca="1" si="0"/>
        <v>0.13170731707317074</v>
      </c>
      <c r="D16" s="56">
        <v>3</v>
      </c>
      <c r="E16" s="122">
        <v>4</v>
      </c>
      <c r="F16" s="65">
        <f t="shared" ca="1" si="1"/>
        <v>0.13170731707317074</v>
      </c>
    </row>
    <row r="17" spans="1:6">
      <c r="A17" s="75"/>
      <c r="B17" s="55" t="s">
        <v>139</v>
      </c>
      <c r="C17" s="13">
        <f t="shared" ca="1" si="0"/>
        <v>0.13170731707317074</v>
      </c>
      <c r="D17" s="56">
        <v>3</v>
      </c>
      <c r="E17" s="122">
        <v>4</v>
      </c>
      <c r="F17" s="65">
        <f t="shared" ca="1" si="1"/>
        <v>0.13170731707317074</v>
      </c>
    </row>
    <row r="18" spans="1:6">
      <c r="A18" s="75"/>
      <c r="B18" s="55" t="s">
        <v>140</v>
      </c>
      <c r="C18" s="13">
        <f t="shared" ca="1" si="0"/>
        <v>0.13170731707317074</v>
      </c>
      <c r="D18" s="56">
        <v>3</v>
      </c>
      <c r="E18" s="122">
        <v>0</v>
      </c>
      <c r="F18" s="65">
        <f t="shared" ca="1" si="1"/>
        <v>0</v>
      </c>
    </row>
    <row r="19" spans="1:6">
      <c r="A19" s="75"/>
      <c r="B19" s="55" t="s">
        <v>141</v>
      </c>
      <c r="C19" s="13">
        <f t="shared" ca="1" si="0"/>
        <v>0.13170731707317074</v>
      </c>
      <c r="D19" s="56">
        <v>3</v>
      </c>
      <c r="E19" s="122">
        <v>0</v>
      </c>
      <c r="F19" s="65">
        <f t="shared" ca="1" si="1"/>
        <v>0</v>
      </c>
    </row>
    <row r="20" spans="1:6">
      <c r="A20" s="75"/>
      <c r="B20" s="55" t="s">
        <v>142</v>
      </c>
      <c r="C20" s="13">
        <f t="shared" ca="1" si="0"/>
        <v>0.13170731707317074</v>
      </c>
      <c r="D20" s="58">
        <v>3</v>
      </c>
      <c r="E20" s="122">
        <v>4</v>
      </c>
      <c r="F20" s="65">
        <f t="shared" ca="1" si="1"/>
        <v>0.13170731707317074</v>
      </c>
    </row>
    <row r="21" spans="1:6">
      <c r="A21" s="75"/>
      <c r="B21" s="76" t="s">
        <v>143</v>
      </c>
      <c r="C21" s="13">
        <f t="shared" ca="1" si="0"/>
        <v>0.13170731707317074</v>
      </c>
      <c r="D21" s="73">
        <v>3</v>
      </c>
      <c r="E21" s="122">
        <v>4</v>
      </c>
      <c r="F21" s="65">
        <f t="shared" ca="1" si="1"/>
        <v>0.13170731707317074</v>
      </c>
    </row>
    <row r="22" spans="1:6">
      <c r="A22" s="75"/>
      <c r="B22" s="76" t="s">
        <v>144</v>
      </c>
      <c r="C22" s="13">
        <f t="shared" ca="1" si="0"/>
        <v>8.7804878048780496E-2</v>
      </c>
      <c r="D22" s="73">
        <v>2</v>
      </c>
      <c r="E22" s="122">
        <v>4</v>
      </c>
      <c r="F22" s="65">
        <f t="shared" ca="1" si="1"/>
        <v>8.7804878048780496E-2</v>
      </c>
    </row>
    <row r="23" spans="1:6">
      <c r="A23" s="75"/>
      <c r="B23" s="76" t="s">
        <v>70</v>
      </c>
      <c r="C23" s="13">
        <f t="shared" ca="1" si="0"/>
        <v>0.26341463414634148</v>
      </c>
      <c r="D23" s="73">
        <v>6</v>
      </c>
      <c r="E23" s="122">
        <v>4</v>
      </c>
      <c r="F23" s="65">
        <f t="shared" ca="1" si="1"/>
        <v>0.26341463414634148</v>
      </c>
    </row>
    <row r="24" spans="1:6">
      <c r="A24" s="75"/>
      <c r="B24" s="22" t="s">
        <v>281</v>
      </c>
      <c r="C24" s="13">
        <f t="shared" ca="1" si="0"/>
        <v>0.13170731707317074</v>
      </c>
      <c r="D24" s="64">
        <v>3</v>
      </c>
      <c r="E24" s="122">
        <v>0</v>
      </c>
      <c r="F24" s="65">
        <f t="shared" ca="1" si="1"/>
        <v>0</v>
      </c>
    </row>
    <row r="25" spans="1:6">
      <c r="A25" s="75"/>
      <c r="B25" s="22" t="s">
        <v>282</v>
      </c>
      <c r="C25" s="13">
        <f t="shared" ca="1" si="0"/>
        <v>0.13170731707317074</v>
      </c>
      <c r="D25" s="64">
        <v>3</v>
      </c>
      <c r="E25" s="122">
        <v>0</v>
      </c>
      <c r="F25" s="65">
        <f t="shared" ca="1" si="1"/>
        <v>0</v>
      </c>
    </row>
    <row r="26" spans="1:6" ht="15.75" thickBot="1">
      <c r="A26" s="75"/>
      <c r="B26" s="61" t="s">
        <v>33</v>
      </c>
      <c r="C26" s="62">
        <f ca="1">SUM(C6:C25)</f>
        <v>3.6000000000000014</v>
      </c>
      <c r="D26" s="62">
        <f>SUM(D6:D25)</f>
        <v>82</v>
      </c>
      <c r="E26" s="82"/>
      <c r="F26" s="83">
        <f ca="1">SUM(F6:F25)</f>
        <v>2.2792682926829277</v>
      </c>
    </row>
    <row r="27" spans="1:6" ht="15.75" thickTop="1">
      <c r="A27" s="75"/>
    </row>
    <row r="28" spans="1:6">
      <c r="A28" s="75"/>
      <c r="B28" s="20" t="s">
        <v>75</v>
      </c>
      <c r="C28" s="216">
        <f>Master!$D$12</f>
        <v>0.1</v>
      </c>
      <c r="D28" s="217"/>
      <c r="E28" s="218"/>
      <c r="F28" s="17">
        <f ca="1">C28*F2</f>
        <v>0.4</v>
      </c>
    </row>
    <row r="29" spans="1:6">
      <c r="A29" s="75"/>
      <c r="B29" s="21" t="s">
        <v>222</v>
      </c>
      <c r="C29" s="21" t="s">
        <v>228</v>
      </c>
      <c r="D29" s="21" t="s">
        <v>9</v>
      </c>
      <c r="E29" s="21" t="s">
        <v>2</v>
      </c>
      <c r="F29" s="60" t="s">
        <v>11</v>
      </c>
    </row>
    <row r="30" spans="1:6">
      <c r="A30" s="75"/>
      <c r="B30" s="67" t="s">
        <v>76</v>
      </c>
      <c r="C30" s="23">
        <f ca="1">D30/$D$35*$F$28</f>
        <v>0.06</v>
      </c>
      <c r="D30" s="24">
        <v>15</v>
      </c>
      <c r="E30" s="122">
        <v>3</v>
      </c>
      <c r="F30" s="25">
        <f ca="1">E30/4 * C30</f>
        <v>4.4999999999999998E-2</v>
      </c>
    </row>
    <row r="31" spans="1:6">
      <c r="A31" s="75"/>
      <c r="B31" s="67" t="s">
        <v>78</v>
      </c>
      <c r="C31" s="23">
        <f ca="1">D31/$D$35*$F$28</f>
        <v>4.0000000000000008E-2</v>
      </c>
      <c r="D31" s="24">
        <v>10</v>
      </c>
      <c r="E31" s="122">
        <v>3</v>
      </c>
      <c r="F31" s="25">
        <f ca="1">E31/4 * C31</f>
        <v>3.0000000000000006E-2</v>
      </c>
    </row>
    <row r="32" spans="1:6">
      <c r="A32" s="75"/>
      <c r="B32" s="67" t="s">
        <v>77</v>
      </c>
      <c r="C32" s="23">
        <f ca="1">D32/$D$35*$F$28</f>
        <v>0.06</v>
      </c>
      <c r="D32" s="24">
        <v>15</v>
      </c>
      <c r="E32" s="122">
        <v>3</v>
      </c>
      <c r="F32" s="25">
        <f ca="1">E32/4 * C32</f>
        <v>4.4999999999999998E-2</v>
      </c>
    </row>
    <row r="33" spans="1:6">
      <c r="A33" s="75"/>
      <c r="B33" s="68" t="s">
        <v>231</v>
      </c>
      <c r="C33" s="23">
        <f ca="1">D33/$D$35*$F$28</f>
        <v>0.12</v>
      </c>
      <c r="D33" s="24">
        <v>30</v>
      </c>
      <c r="E33" s="122">
        <v>3</v>
      </c>
      <c r="F33" s="25">
        <f ca="1">E33/4 * C33</f>
        <v>0.09</v>
      </c>
    </row>
    <row r="34" spans="1:6" ht="15.75" customHeight="1">
      <c r="A34" s="75"/>
      <c r="B34" s="68" t="s">
        <v>232</v>
      </c>
      <c r="C34" s="23">
        <f ca="1">D34/$D$35*$F$28</f>
        <v>0.12</v>
      </c>
      <c r="D34" s="24">
        <v>30</v>
      </c>
      <c r="E34" s="122">
        <v>3</v>
      </c>
      <c r="F34" s="25">
        <f ca="1">E34/4 * C34</f>
        <v>0.09</v>
      </c>
    </row>
    <row r="35" spans="1:6" ht="15.75" customHeight="1" thickBot="1">
      <c r="B35" s="33" t="s">
        <v>33</v>
      </c>
      <c r="C35" s="34">
        <f ca="1">SUM(C30:C34)</f>
        <v>0.4</v>
      </c>
      <c r="D35" s="34">
        <f>SUM(D30:D34)</f>
        <v>100</v>
      </c>
      <c r="E35" s="35"/>
      <c r="F35" s="34">
        <f ca="1">SUM(F30:F34)</f>
        <v>0.30000000000000004</v>
      </c>
    </row>
    <row r="36" spans="1:6" ht="15.75" customHeight="1" thickTop="1"/>
    <row r="37" spans="1:6" ht="15.75" customHeight="1" thickBot="1">
      <c r="B37" s="238" t="s">
        <v>219</v>
      </c>
      <c r="C37" s="238"/>
      <c r="D37" s="238"/>
      <c r="E37" s="238"/>
      <c r="F37" s="107">
        <f ca="1">SUM(,F26,F35)</f>
        <v>2.5792682926829276</v>
      </c>
    </row>
    <row r="38" spans="1:6" ht="15.75" customHeight="1" thickTop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4">
    <mergeCell ref="B37:E37"/>
    <mergeCell ref="C4:E4"/>
    <mergeCell ref="C28:E28"/>
    <mergeCell ref="B2:E2"/>
  </mergeCells>
  <dataValidations count="1">
    <dataValidation type="decimal" allowBlank="1" showErrorMessage="1" sqref="E30:E34 E6:E25" xr:uid="{821DB17D-9E72-4ED9-884F-0A6F0B1F8E16}">
      <formula1>0</formula1>
      <formula2>4</formula2>
    </dataValidation>
  </dataValidations>
  <pageMargins left="0.7" right="0.7" top="0.75" bottom="0.75" header="0" footer="0"/>
  <pageSetup paperSize="9"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C63A8-187C-48CC-95B3-B29E73CF0CC4}">
  <sheetPr>
    <tabColor rgb="FFC00000"/>
  </sheetPr>
  <dimension ref="A1:I1019"/>
  <sheetViews>
    <sheetView topLeftCell="A21" zoomScale="120" zoomScaleNormal="120" workbookViewId="0">
      <selection activeCell="B28" sqref="B28"/>
    </sheetView>
  </sheetViews>
  <sheetFormatPr defaultColWidth="14.42578125" defaultRowHeight="15" customHeight="1"/>
  <cols>
    <col min="1" max="1" width="11.42578125" style="5" customWidth="1"/>
    <col min="2" max="2" width="45.28515625" style="5" bestFit="1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7" width="15.85546875" style="5" bestFit="1" customWidth="1"/>
    <col min="8" max="8" width="18.42578125" style="5" bestFit="1" customWidth="1"/>
    <col min="9" max="26" width="11.42578125" style="5" customWidth="1"/>
    <col min="27" max="16384" width="14.42578125" style="5"/>
  </cols>
  <sheetData>
    <row r="1" spans="1:9">
      <c r="A1" s="75"/>
      <c r="B1" s="75"/>
      <c r="C1" s="75"/>
      <c r="D1" s="75"/>
      <c r="E1" s="75"/>
    </row>
    <row r="2" spans="1:9">
      <c r="A2" s="75"/>
      <c r="B2" s="229" t="str" cm="1">
        <f t="array" aca="1" ref="B2" ca="1">RIGHT(CELL("filename", A1), LEN(CELL("filename", A1)) - FIND("]", CELL("filename", A1)))</f>
        <v>Chat Page</v>
      </c>
      <c r="C2" s="230"/>
      <c r="D2" s="230"/>
      <c r="E2" s="231"/>
      <c r="F2" s="97">
        <f ca="1">VLOOKUP(B2,Master!B16:C38,2,FALSE)</f>
        <v>7</v>
      </c>
    </row>
    <row r="3" spans="1:9">
      <c r="A3" s="75"/>
    </row>
    <row r="4" spans="1:9">
      <c r="A4" s="75"/>
      <c r="B4" s="20" t="s">
        <v>80</v>
      </c>
      <c r="C4" s="216">
        <f>Master!$D$11</f>
        <v>0.9</v>
      </c>
      <c r="D4" s="228"/>
      <c r="E4" s="227"/>
      <c r="F4" s="17">
        <f ca="1">C4*F2</f>
        <v>6.3</v>
      </c>
    </row>
    <row r="5" spans="1:9">
      <c r="A5" s="75"/>
      <c r="B5" s="60" t="s">
        <v>222</v>
      </c>
      <c r="C5" s="60" t="s">
        <v>228</v>
      </c>
      <c r="D5" s="60" t="s">
        <v>9</v>
      </c>
      <c r="E5" s="60" t="s">
        <v>2</v>
      </c>
      <c r="F5" s="60" t="s">
        <v>11</v>
      </c>
    </row>
    <row r="6" spans="1:9">
      <c r="A6" s="75"/>
      <c r="B6" s="55" t="s">
        <v>91</v>
      </c>
      <c r="C6" s="13">
        <f t="shared" ref="C6:C12" ca="1" si="0">D6/$D$34*$F$4</f>
        <v>4.5323741007194246E-2</v>
      </c>
      <c r="D6" s="56">
        <v>1</v>
      </c>
      <c r="E6" s="122">
        <v>4</v>
      </c>
      <c r="F6" s="65">
        <f ca="1">E6/4*C6</f>
        <v>4.5323741007194246E-2</v>
      </c>
    </row>
    <row r="7" spans="1:9">
      <c r="A7" s="75"/>
      <c r="B7" s="55" t="s">
        <v>387</v>
      </c>
      <c r="C7" s="13">
        <f t="shared" ca="1" si="0"/>
        <v>1.3597122302158273</v>
      </c>
      <c r="D7" s="56">
        <v>30</v>
      </c>
      <c r="E7" s="122">
        <v>4</v>
      </c>
      <c r="F7" s="65">
        <f t="shared" ref="F7:F33" ca="1" si="1">E7/4*C7</f>
        <v>1.3597122302158273</v>
      </c>
    </row>
    <row r="8" spans="1:9">
      <c r="A8" s="75"/>
      <c r="B8" s="55" t="s">
        <v>145</v>
      </c>
      <c r="C8" s="13">
        <f t="shared" ca="1" si="0"/>
        <v>0.2266187050359712</v>
      </c>
      <c r="D8" s="56">
        <v>5</v>
      </c>
      <c r="E8" s="122">
        <v>4</v>
      </c>
      <c r="F8" s="65">
        <f t="shared" ca="1" si="1"/>
        <v>0.2266187050359712</v>
      </c>
      <c r="H8" s="134" t="s">
        <v>322</v>
      </c>
      <c r="I8" s="134" t="s">
        <v>96</v>
      </c>
    </row>
    <row r="9" spans="1:9">
      <c r="A9" s="75"/>
      <c r="B9" s="55" t="s">
        <v>146</v>
      </c>
      <c r="C9" s="13">
        <f t="shared" ca="1" si="0"/>
        <v>0.36258992805755397</v>
      </c>
      <c r="D9" s="56">
        <v>8</v>
      </c>
      <c r="E9" s="4">
        <f>H9/I9*4</f>
        <v>0</v>
      </c>
      <c r="F9" s="65">
        <f t="shared" ca="1" si="1"/>
        <v>0</v>
      </c>
      <c r="H9" s="135">
        <v>0</v>
      </c>
      <c r="I9" s="136">
        <v>4</v>
      </c>
    </row>
    <row r="10" spans="1:9">
      <c r="A10" s="75"/>
      <c r="B10" s="55" t="s">
        <v>147</v>
      </c>
      <c r="C10" s="13">
        <f t="shared" ca="1" si="0"/>
        <v>0.2266187050359712</v>
      </c>
      <c r="D10" s="56">
        <v>5</v>
      </c>
      <c r="E10" s="122">
        <v>0</v>
      </c>
      <c r="F10" s="65">
        <f t="shared" ca="1" si="1"/>
        <v>0</v>
      </c>
    </row>
    <row r="11" spans="1:9">
      <c r="A11" s="75"/>
      <c r="B11" s="55" t="s">
        <v>148</v>
      </c>
      <c r="C11" s="13">
        <f t="shared" ca="1" si="0"/>
        <v>0.36258992805755397</v>
      </c>
      <c r="D11" s="56">
        <v>8</v>
      </c>
      <c r="E11" s="122">
        <v>0</v>
      </c>
      <c r="F11" s="65">
        <f t="shared" ca="1" si="1"/>
        <v>0</v>
      </c>
    </row>
    <row r="12" spans="1:9">
      <c r="A12" s="75"/>
      <c r="B12" s="63" t="s">
        <v>323</v>
      </c>
      <c r="C12" s="13">
        <f t="shared" ca="1" si="0"/>
        <v>4.5323741007194246E-2</v>
      </c>
      <c r="D12" s="56">
        <v>1</v>
      </c>
      <c r="E12" s="122">
        <v>4</v>
      </c>
      <c r="F12" s="65">
        <f ca="1">E12/4*C12</f>
        <v>4.5323741007194246E-2</v>
      </c>
    </row>
    <row r="13" spans="1:9">
      <c r="A13" s="75"/>
      <c r="B13" s="240" t="s">
        <v>388</v>
      </c>
      <c r="C13" s="241"/>
      <c r="D13" s="241"/>
      <c r="E13" s="242"/>
      <c r="F13" s="151"/>
    </row>
    <row r="14" spans="1:9">
      <c r="A14" s="75"/>
      <c r="B14" s="55" t="s">
        <v>389</v>
      </c>
      <c r="C14" s="13">
        <f t="shared" ref="C14:C19" ca="1" si="2">D14/$D$34*$F$4</f>
        <v>0.13597122302158274</v>
      </c>
      <c r="D14" s="56">
        <v>3</v>
      </c>
      <c r="E14" s="4">
        <f>H14/I14*4</f>
        <v>2</v>
      </c>
      <c r="F14" s="65">
        <f t="shared" ca="1" si="1"/>
        <v>6.7985611510791369E-2</v>
      </c>
      <c r="H14" s="135">
        <v>2</v>
      </c>
      <c r="I14" s="136">
        <v>4</v>
      </c>
    </row>
    <row r="15" spans="1:9">
      <c r="A15" s="75"/>
      <c r="B15" s="55" t="s">
        <v>153</v>
      </c>
      <c r="C15" s="13">
        <f t="shared" ca="1" si="2"/>
        <v>9.0647482014388492E-2</v>
      </c>
      <c r="D15" s="56">
        <v>2</v>
      </c>
      <c r="E15" s="122">
        <v>4</v>
      </c>
      <c r="F15" s="65">
        <f t="shared" ca="1" si="1"/>
        <v>9.0647482014388492E-2</v>
      </c>
    </row>
    <row r="16" spans="1:9">
      <c r="A16" s="75"/>
      <c r="B16" s="55" t="s">
        <v>154</v>
      </c>
      <c r="C16" s="13">
        <f t="shared" ca="1" si="2"/>
        <v>0.18129496402877698</v>
      </c>
      <c r="D16" s="56">
        <v>4</v>
      </c>
      <c r="E16" s="122">
        <v>4</v>
      </c>
      <c r="F16" s="65">
        <f t="shared" ca="1" si="1"/>
        <v>0.18129496402877698</v>
      </c>
    </row>
    <row r="17" spans="1:9">
      <c r="A17" s="75"/>
      <c r="B17" s="55" t="s">
        <v>70</v>
      </c>
      <c r="C17" s="13">
        <f t="shared" ca="1" si="2"/>
        <v>0.18129496402877698</v>
      </c>
      <c r="D17" s="56">
        <v>4</v>
      </c>
      <c r="E17" s="122">
        <v>3</v>
      </c>
      <c r="F17" s="65">
        <f t="shared" ca="1" si="1"/>
        <v>0.13597122302158274</v>
      </c>
    </row>
    <row r="18" spans="1:9">
      <c r="A18" s="75"/>
      <c r="B18" s="55" t="s">
        <v>150</v>
      </c>
      <c r="C18" s="13">
        <f t="shared" ca="1" si="2"/>
        <v>0.18129496402877698</v>
      </c>
      <c r="D18" s="56">
        <v>4</v>
      </c>
      <c r="E18" s="122">
        <v>3</v>
      </c>
      <c r="F18" s="65">
        <f t="shared" ref="F18:F19" ca="1" si="3">E18/4*C18</f>
        <v>0.13597122302158274</v>
      </c>
    </row>
    <row r="19" spans="1:9">
      <c r="A19" s="75"/>
      <c r="B19" s="55" t="s">
        <v>152</v>
      </c>
      <c r="C19" s="13">
        <f t="shared" ca="1" si="2"/>
        <v>0.18129496402877698</v>
      </c>
      <c r="D19" s="56">
        <v>4</v>
      </c>
      <c r="E19" s="122">
        <v>3</v>
      </c>
      <c r="F19" s="65">
        <f t="shared" ca="1" si="3"/>
        <v>0.13597122302158274</v>
      </c>
    </row>
    <row r="20" spans="1:9">
      <c r="A20" s="75"/>
      <c r="B20" s="240" t="s">
        <v>390</v>
      </c>
      <c r="C20" s="241"/>
      <c r="D20" s="241"/>
      <c r="E20" s="242"/>
      <c r="F20" s="151"/>
    </row>
    <row r="21" spans="1:9">
      <c r="A21" s="75"/>
      <c r="B21" s="55" t="s">
        <v>149</v>
      </c>
      <c r="C21" s="13">
        <f t="shared" ref="C21:C33" ca="1" si="4">D21/$D$34*$F$4</f>
        <v>0.18129496402877698</v>
      </c>
      <c r="D21" s="56">
        <v>4</v>
      </c>
      <c r="E21" s="122">
        <v>0</v>
      </c>
      <c r="F21" s="65">
        <f t="shared" ref="F21:F22" ca="1" si="5">E21/4*C21</f>
        <v>0</v>
      </c>
    </row>
    <row r="22" spans="1:9">
      <c r="A22" s="75"/>
      <c r="B22" s="55" t="s">
        <v>151</v>
      </c>
      <c r="C22" s="13">
        <f t="shared" ca="1" si="4"/>
        <v>0.18129496402877698</v>
      </c>
      <c r="D22" s="56">
        <v>4</v>
      </c>
      <c r="E22" s="122">
        <v>0</v>
      </c>
      <c r="F22" s="65">
        <f t="shared" ca="1" si="5"/>
        <v>0</v>
      </c>
    </row>
    <row r="23" spans="1:9">
      <c r="A23" s="75"/>
      <c r="B23" s="55" t="s">
        <v>155</v>
      </c>
      <c r="C23" s="13">
        <f t="shared" ca="1" si="4"/>
        <v>0.13597122302158274</v>
      </c>
      <c r="D23" s="56">
        <v>3</v>
      </c>
      <c r="E23" s="122">
        <v>4</v>
      </c>
      <c r="F23" s="65">
        <f t="shared" ca="1" si="1"/>
        <v>0.13597122302158274</v>
      </c>
    </row>
    <row r="24" spans="1:9">
      <c r="A24" s="75"/>
      <c r="B24" s="55" t="s">
        <v>156</v>
      </c>
      <c r="C24" s="13">
        <f t="shared" ca="1" si="4"/>
        <v>0.2266187050359712</v>
      </c>
      <c r="D24" s="56">
        <v>5</v>
      </c>
      <c r="E24" s="122">
        <v>4</v>
      </c>
      <c r="F24" s="65">
        <f t="shared" ca="1" si="1"/>
        <v>0.2266187050359712</v>
      </c>
    </row>
    <row r="25" spans="1:9">
      <c r="A25" s="75"/>
      <c r="B25" s="55" t="s">
        <v>157</v>
      </c>
      <c r="C25" s="13">
        <f t="shared" ca="1" si="4"/>
        <v>0.2266187050359712</v>
      </c>
      <c r="D25" s="56">
        <v>5</v>
      </c>
      <c r="E25" s="122">
        <v>0</v>
      </c>
      <c r="F25" s="65">
        <f t="shared" ca="1" si="1"/>
        <v>0</v>
      </c>
    </row>
    <row r="26" spans="1:9">
      <c r="A26" s="75"/>
      <c r="B26" s="55" t="s">
        <v>158</v>
      </c>
      <c r="C26" s="13">
        <f t="shared" ca="1" si="4"/>
        <v>0.13597122302158274</v>
      </c>
      <c r="D26" s="56">
        <v>3</v>
      </c>
      <c r="E26" s="4">
        <f>H26/I26*4</f>
        <v>4</v>
      </c>
      <c r="F26" s="65">
        <f t="shared" ca="1" si="1"/>
        <v>0.13597122302158274</v>
      </c>
      <c r="H26" s="135">
        <v>3</v>
      </c>
      <c r="I26" s="136">
        <v>3</v>
      </c>
    </row>
    <row r="27" spans="1:9">
      <c r="A27" s="75"/>
      <c r="B27" s="55" t="s">
        <v>159</v>
      </c>
      <c r="C27" s="13">
        <f t="shared" ca="1" si="4"/>
        <v>0.36258992805755397</v>
      </c>
      <c r="D27" s="56">
        <v>8</v>
      </c>
      <c r="E27" s="122">
        <v>0</v>
      </c>
      <c r="F27" s="65">
        <f t="shared" ca="1" si="1"/>
        <v>0</v>
      </c>
    </row>
    <row r="28" spans="1:9">
      <c r="A28" s="75"/>
      <c r="B28" s="55" t="s">
        <v>160</v>
      </c>
      <c r="C28" s="13">
        <f t="shared" ca="1" si="4"/>
        <v>9.0647482014388492E-2</v>
      </c>
      <c r="D28" s="56">
        <v>2</v>
      </c>
      <c r="E28" s="122">
        <v>0</v>
      </c>
      <c r="F28" s="65">
        <f t="shared" ca="1" si="1"/>
        <v>0</v>
      </c>
    </row>
    <row r="29" spans="1:9">
      <c r="A29" s="75"/>
      <c r="B29" s="55" t="s">
        <v>161</v>
      </c>
      <c r="C29" s="13">
        <f t="shared" ca="1" si="4"/>
        <v>0.2266187050359712</v>
      </c>
      <c r="D29" s="56">
        <v>5</v>
      </c>
      <c r="E29" s="4">
        <f>H29/I29*4</f>
        <v>1.6</v>
      </c>
      <c r="F29" s="65">
        <f t="shared" ca="1" si="1"/>
        <v>9.0647482014388492E-2</v>
      </c>
      <c r="H29" s="135">
        <v>2</v>
      </c>
      <c r="I29" s="136">
        <v>5</v>
      </c>
    </row>
    <row r="30" spans="1:9">
      <c r="A30" s="75"/>
      <c r="B30" s="55" t="s">
        <v>162</v>
      </c>
      <c r="C30" s="13">
        <f t="shared" ca="1" si="4"/>
        <v>0.2266187050359712</v>
      </c>
      <c r="D30" s="56">
        <v>5</v>
      </c>
      <c r="E30" s="122">
        <v>4</v>
      </c>
      <c r="F30" s="65">
        <f t="shared" ca="1" si="1"/>
        <v>0.2266187050359712</v>
      </c>
    </row>
    <row r="31" spans="1:9">
      <c r="A31" s="75"/>
      <c r="B31" s="55" t="s">
        <v>163</v>
      </c>
      <c r="C31" s="13">
        <f t="shared" ca="1" si="4"/>
        <v>0.4532374100719424</v>
      </c>
      <c r="D31" s="56">
        <v>10</v>
      </c>
      <c r="E31" s="122">
        <v>4</v>
      </c>
      <c r="F31" s="65">
        <f t="shared" ca="1" si="1"/>
        <v>0.4532374100719424</v>
      </c>
    </row>
    <row r="32" spans="1:9">
      <c r="A32" s="75"/>
      <c r="B32" s="22" t="s">
        <v>281</v>
      </c>
      <c r="C32" s="13">
        <f t="shared" ca="1" si="4"/>
        <v>0.13597122302158274</v>
      </c>
      <c r="D32" s="64">
        <v>3</v>
      </c>
      <c r="E32" s="122">
        <v>0</v>
      </c>
      <c r="F32" s="65">
        <f t="shared" ca="1" si="1"/>
        <v>0</v>
      </c>
    </row>
    <row r="33" spans="1:6">
      <c r="A33" s="75"/>
      <c r="B33" s="22" t="s">
        <v>282</v>
      </c>
      <c r="C33" s="13">
        <f t="shared" ca="1" si="4"/>
        <v>0.13597122302158274</v>
      </c>
      <c r="D33" s="64">
        <v>3</v>
      </c>
      <c r="E33" s="122">
        <v>0</v>
      </c>
      <c r="F33" s="65">
        <f t="shared" ca="1" si="1"/>
        <v>0</v>
      </c>
    </row>
    <row r="34" spans="1:6" ht="15.75" thickBot="1">
      <c r="A34" s="75"/>
      <c r="B34" s="61" t="s">
        <v>33</v>
      </c>
      <c r="C34" s="62">
        <f ca="1">SUM(C6:C33)</f>
        <v>6.3000000000000007</v>
      </c>
      <c r="D34" s="62">
        <f>SUM(D6:D33)</f>
        <v>139</v>
      </c>
      <c r="E34" s="82"/>
      <c r="F34" s="83">
        <f ca="1">SUM(F6:F33)</f>
        <v>3.6938848920863299</v>
      </c>
    </row>
    <row r="35" spans="1:6" ht="15.75" thickTop="1">
      <c r="A35" s="75"/>
    </row>
    <row r="36" spans="1:6">
      <c r="A36" s="75"/>
      <c r="B36" s="20" t="s">
        <v>75</v>
      </c>
      <c r="C36" s="216">
        <f>Master!$D$12</f>
        <v>0.1</v>
      </c>
      <c r="D36" s="217"/>
      <c r="E36" s="218"/>
      <c r="F36" s="17">
        <f ca="1">C36*F2</f>
        <v>0.70000000000000007</v>
      </c>
    </row>
    <row r="37" spans="1:6">
      <c r="A37" s="75"/>
      <c r="B37" s="21" t="s">
        <v>222</v>
      </c>
      <c r="C37" s="21" t="s">
        <v>228</v>
      </c>
      <c r="D37" s="21" t="s">
        <v>9</v>
      </c>
      <c r="E37" s="21" t="s">
        <v>2</v>
      </c>
      <c r="F37" s="60" t="s">
        <v>11</v>
      </c>
    </row>
    <row r="38" spans="1:6">
      <c r="A38" s="75"/>
      <c r="B38" s="67" t="s">
        <v>76</v>
      </c>
      <c r="C38" s="23">
        <f ca="1">D38/$D$43*$F$36</f>
        <v>8.7500000000000008E-2</v>
      </c>
      <c r="D38" s="24">
        <v>15</v>
      </c>
      <c r="E38" s="122">
        <v>3</v>
      </c>
      <c r="F38" s="25">
        <f ca="1">E38/4 * C38</f>
        <v>6.5625000000000003E-2</v>
      </c>
    </row>
    <row r="39" spans="1:6">
      <c r="A39" s="75"/>
      <c r="B39" s="67" t="s">
        <v>78</v>
      </c>
      <c r="C39" s="23">
        <f ca="1">D39/$D$43*$F$36</f>
        <v>0.17500000000000002</v>
      </c>
      <c r="D39" s="24">
        <v>30</v>
      </c>
      <c r="E39" s="122">
        <v>3</v>
      </c>
      <c r="F39" s="25">
        <f ca="1">E39/4 * C39</f>
        <v>0.13125000000000001</v>
      </c>
    </row>
    <row r="40" spans="1:6" ht="15.75" customHeight="1">
      <c r="A40" s="75"/>
      <c r="B40" s="67" t="s">
        <v>77</v>
      </c>
      <c r="C40" s="23">
        <f ca="1">D40/$D$43*$F$36</f>
        <v>8.7500000000000008E-2</v>
      </c>
      <c r="D40" s="24">
        <v>15</v>
      </c>
      <c r="E40" s="122">
        <v>3</v>
      </c>
      <c r="F40" s="25">
        <f ca="1">E40/4 * C40</f>
        <v>6.5625000000000003E-2</v>
      </c>
    </row>
    <row r="41" spans="1:6" ht="15.75" customHeight="1">
      <c r="B41" s="68" t="s">
        <v>231</v>
      </c>
      <c r="C41" s="23">
        <f ca="1">D41/$D$43*$F$36</f>
        <v>0.17500000000000002</v>
      </c>
      <c r="D41" s="24">
        <v>30</v>
      </c>
      <c r="E41" s="122">
        <v>3</v>
      </c>
      <c r="F41" s="25">
        <f ca="1">E41/4 * C41</f>
        <v>0.13125000000000001</v>
      </c>
    </row>
    <row r="42" spans="1:6" ht="15.75" customHeight="1">
      <c r="B42" s="68" t="s">
        <v>232</v>
      </c>
      <c r="C42" s="23">
        <f ca="1">D42/$D$43*$F$36</f>
        <v>0.17500000000000002</v>
      </c>
      <c r="D42" s="24">
        <v>30</v>
      </c>
      <c r="E42" s="122">
        <v>3</v>
      </c>
      <c r="F42" s="25">
        <f ca="1">E42/4 * C42</f>
        <v>0.13125000000000001</v>
      </c>
    </row>
    <row r="43" spans="1:6" ht="15.75" customHeight="1" thickBot="1">
      <c r="B43" s="33" t="s">
        <v>33</v>
      </c>
      <c r="C43" s="34">
        <f ca="1">SUM(C38:C42)</f>
        <v>0.70000000000000007</v>
      </c>
      <c r="D43" s="34">
        <f>SUM(D38:D42)</f>
        <v>120</v>
      </c>
      <c r="E43" s="35"/>
      <c r="F43" s="34">
        <f ca="1">SUM(F38:F42)</f>
        <v>0.52500000000000002</v>
      </c>
    </row>
    <row r="44" spans="1:6" ht="15.75" customHeight="1" thickTop="1"/>
    <row r="45" spans="1:6" ht="15.75" customHeight="1" thickBot="1">
      <c r="B45" s="238" t="s">
        <v>219</v>
      </c>
      <c r="C45" s="238"/>
      <c r="D45" s="238"/>
      <c r="E45" s="238"/>
      <c r="F45" s="107">
        <f ca="1">SUM(F34,F43)</f>
        <v>4.2188848920863302</v>
      </c>
    </row>
    <row r="46" spans="1:6" ht="15.75" customHeight="1" thickTop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6">
    <mergeCell ref="C4:E4"/>
    <mergeCell ref="B45:E45"/>
    <mergeCell ref="B2:E2"/>
    <mergeCell ref="B13:E13"/>
    <mergeCell ref="B20:E20"/>
    <mergeCell ref="C36:E36"/>
  </mergeCells>
  <dataValidations count="1">
    <dataValidation type="decimal" allowBlank="1" showErrorMessage="1" sqref="E38:E42 E14:E19 E6:E12 E21:E33" xr:uid="{C7F7218C-2CA2-4F06-A4D0-BA6D2212957A}">
      <formula1>0</formula1>
      <formula2>4</formula2>
    </dataValidation>
  </dataValidations>
  <pageMargins left="0.7" right="0.7" top="0.75" bottom="0.75" header="0" footer="0"/>
  <pageSetup paperSize="9" orientation="portrait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73EA-43BC-2948-A16A-E72A4833AD7B}">
  <sheetPr>
    <tabColor rgb="FFC00000"/>
  </sheetPr>
  <dimension ref="A1:K1021"/>
  <sheetViews>
    <sheetView topLeftCell="A5" zoomScale="120" zoomScaleNormal="120" workbookViewId="0">
      <selection activeCell="N18" sqref="N18"/>
    </sheetView>
  </sheetViews>
  <sheetFormatPr defaultColWidth="14.42578125" defaultRowHeight="15" customHeight="1"/>
  <cols>
    <col min="1" max="1" width="11.42578125" style="5" customWidth="1"/>
    <col min="2" max="2" width="45.28515625" style="5" bestFit="1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7" width="3.28515625" style="5" customWidth="1"/>
    <col min="8" max="8" width="18.42578125" style="5" bestFit="1" customWidth="1"/>
    <col min="9" max="26" width="11.42578125" style="5" customWidth="1"/>
    <col min="27" max="16384" width="14.42578125" style="5"/>
  </cols>
  <sheetData>
    <row r="1" spans="1:9">
      <c r="A1" s="75"/>
      <c r="B1" s="75"/>
      <c r="C1" s="75"/>
      <c r="D1" s="75"/>
      <c r="E1" s="75"/>
    </row>
    <row r="2" spans="1:9">
      <c r="A2" s="75"/>
      <c r="B2" s="229" t="str" cm="1">
        <f t="array" aca="1" ref="B2" ca="1">RIGHT(CELL("filename", A1), LEN(CELL("filename", A1)) - FIND("]", CELL("filename", A1)))</f>
        <v>Live</v>
      </c>
      <c r="C2" s="230"/>
      <c r="D2" s="230"/>
      <c r="E2" s="231"/>
      <c r="F2" s="97">
        <f ca="1">VLOOKUP(B2,Master!B16:C38,2,FALSE)</f>
        <v>5</v>
      </c>
    </row>
    <row r="3" spans="1:9">
      <c r="A3" s="75"/>
    </row>
    <row r="4" spans="1:9">
      <c r="A4" s="75"/>
      <c r="B4" s="20" t="s">
        <v>80</v>
      </c>
      <c r="C4" s="216">
        <f>Master!$D$11</f>
        <v>0.9</v>
      </c>
      <c r="D4" s="228"/>
      <c r="E4" s="227"/>
      <c r="F4" s="17">
        <f ca="1">C4*F2</f>
        <v>4.5</v>
      </c>
    </row>
    <row r="5" spans="1:9">
      <c r="A5" s="75"/>
      <c r="B5" s="60" t="s">
        <v>222</v>
      </c>
      <c r="C5" s="60" t="s">
        <v>228</v>
      </c>
      <c r="D5" s="60" t="s">
        <v>9</v>
      </c>
      <c r="E5" s="60" t="s">
        <v>2</v>
      </c>
      <c r="F5" s="60" t="s">
        <v>11</v>
      </c>
    </row>
    <row r="6" spans="1:9">
      <c r="A6" s="75"/>
      <c r="B6" s="240" t="s">
        <v>237</v>
      </c>
      <c r="C6" s="241"/>
      <c r="D6" s="241"/>
      <c r="E6" s="242"/>
      <c r="F6" s="151"/>
    </row>
    <row r="7" spans="1:9">
      <c r="A7" s="75"/>
      <c r="B7" s="55" t="s">
        <v>91</v>
      </c>
      <c r="C7" s="13">
        <f ca="1">D7/$D$37*$F$4</f>
        <v>1.7110266159695818E-2</v>
      </c>
      <c r="D7" s="56">
        <v>1</v>
      </c>
      <c r="E7" s="122">
        <v>4</v>
      </c>
      <c r="F7" s="65">
        <f ca="1">E7/4*C7</f>
        <v>1.7110266159695818E-2</v>
      </c>
    </row>
    <row r="8" spans="1:9">
      <c r="A8" s="75"/>
      <c r="B8" s="63" t="s">
        <v>323</v>
      </c>
      <c r="C8" s="13">
        <f ca="1">D8/$D$37*$F$4</f>
        <v>1.7110266159695818E-2</v>
      </c>
      <c r="D8" s="56">
        <v>1</v>
      </c>
      <c r="E8" s="122">
        <v>4</v>
      </c>
      <c r="F8" s="65">
        <f t="shared" ref="F8:F36" ca="1" si="0">E8/4*C8</f>
        <v>1.7110266159695818E-2</v>
      </c>
    </row>
    <row r="9" spans="1:9">
      <c r="A9" s="75"/>
      <c r="B9" s="55" t="s">
        <v>370</v>
      </c>
      <c r="C9" s="13">
        <f ca="1">D9/$D$37*$F$4</f>
        <v>5.1330798479087454E-2</v>
      </c>
      <c r="D9" s="56">
        <v>3</v>
      </c>
      <c r="E9" s="122">
        <v>0</v>
      </c>
      <c r="F9" s="65">
        <f t="shared" ca="1" si="0"/>
        <v>0</v>
      </c>
      <c r="H9" s="134" t="s">
        <v>322</v>
      </c>
      <c r="I9" s="134" t="s">
        <v>96</v>
      </c>
    </row>
    <row r="10" spans="1:9">
      <c r="A10" s="75"/>
      <c r="B10" s="55" t="s">
        <v>373</v>
      </c>
      <c r="C10" s="13">
        <f ca="1">D10/$D$37*$F$4</f>
        <v>5.1330798479087454E-2</v>
      </c>
      <c r="D10" s="56">
        <v>3</v>
      </c>
      <c r="E10" s="4">
        <f>H10/I10*4</f>
        <v>0</v>
      </c>
      <c r="F10" s="65">
        <f t="shared" ca="1" si="0"/>
        <v>0</v>
      </c>
      <c r="H10" s="138">
        <v>0</v>
      </c>
      <c r="I10" s="136">
        <v>9</v>
      </c>
    </row>
    <row r="11" spans="1:9">
      <c r="A11" s="75"/>
      <c r="B11" s="55" t="s">
        <v>371</v>
      </c>
      <c r="C11" s="13">
        <f ca="1">D11/$D$37*$F$4</f>
        <v>1.7110266159695818E-2</v>
      </c>
      <c r="D11" s="56">
        <v>1</v>
      </c>
      <c r="E11" s="122">
        <v>0</v>
      </c>
      <c r="F11" s="65">
        <f t="shared" ca="1" si="0"/>
        <v>0</v>
      </c>
    </row>
    <row r="12" spans="1:9">
      <c r="A12" s="75"/>
      <c r="B12" s="240" t="s">
        <v>261</v>
      </c>
      <c r="C12" s="241"/>
      <c r="D12" s="241"/>
      <c r="E12" s="242"/>
      <c r="F12" s="151"/>
    </row>
    <row r="13" spans="1:9">
      <c r="A13" s="75"/>
      <c r="B13" s="171" t="s">
        <v>386</v>
      </c>
      <c r="C13" s="13">
        <f t="shared" ref="C13:C26" ca="1" si="1">D13/$D$37*$F$4</f>
        <v>0.51330798479087458</v>
      </c>
      <c r="D13" s="56">
        <v>30</v>
      </c>
      <c r="E13" s="122">
        <v>0</v>
      </c>
      <c r="F13" s="65">
        <f t="shared" ref="F13" ca="1" si="2">E13/4*C13</f>
        <v>0</v>
      </c>
    </row>
    <row r="14" spans="1:9">
      <c r="A14" s="75"/>
      <c r="B14" s="55" t="s">
        <v>372</v>
      </c>
      <c r="C14" s="13">
        <f t="shared" ca="1" si="1"/>
        <v>6.8441064638783272E-2</v>
      </c>
      <c r="D14" s="56">
        <v>4</v>
      </c>
      <c r="E14" s="4">
        <f>H14/I14*4</f>
        <v>1.6</v>
      </c>
      <c r="F14" s="65">
        <f t="shared" ca="1" si="0"/>
        <v>2.7376425855513309E-2</v>
      </c>
      <c r="H14" s="138">
        <v>2</v>
      </c>
      <c r="I14" s="136">
        <v>5</v>
      </c>
    </row>
    <row r="15" spans="1:9">
      <c r="A15" s="75"/>
      <c r="B15" s="55" t="s">
        <v>262</v>
      </c>
      <c r="C15" s="13">
        <f t="shared" ca="1" si="1"/>
        <v>0.51330798479087458</v>
      </c>
      <c r="D15" s="56">
        <v>30</v>
      </c>
      <c r="E15" s="122">
        <v>0</v>
      </c>
      <c r="F15" s="65">
        <f t="shared" ca="1" si="0"/>
        <v>0</v>
      </c>
    </row>
    <row r="16" spans="1:9">
      <c r="A16" s="75"/>
      <c r="B16" s="55" t="s">
        <v>375</v>
      </c>
      <c r="C16" s="13">
        <f t="shared" ca="1" si="1"/>
        <v>0.20532319391634982</v>
      </c>
      <c r="D16" s="56">
        <v>12</v>
      </c>
      <c r="E16" s="122">
        <v>2</v>
      </c>
      <c r="F16" s="65">
        <f t="shared" ca="1" si="0"/>
        <v>0.10266159695817491</v>
      </c>
    </row>
    <row r="17" spans="1:11">
      <c r="A17" s="75"/>
      <c r="B17" s="55" t="s">
        <v>376</v>
      </c>
      <c r="C17" s="13">
        <f t="shared" ca="1" si="1"/>
        <v>6.8441064638783272E-2</v>
      </c>
      <c r="D17" s="56">
        <v>4</v>
      </c>
      <c r="E17" s="122">
        <v>2</v>
      </c>
      <c r="F17" s="65">
        <f t="shared" ca="1" si="0"/>
        <v>3.4220532319391636E-2</v>
      </c>
    </row>
    <row r="18" spans="1:11">
      <c r="A18" s="75"/>
      <c r="B18" s="55" t="s">
        <v>377</v>
      </c>
      <c r="C18" s="13">
        <f t="shared" ca="1" si="1"/>
        <v>0.13688212927756654</v>
      </c>
      <c r="D18" s="56">
        <v>8</v>
      </c>
      <c r="E18" s="122">
        <v>0</v>
      </c>
      <c r="F18" s="65">
        <f t="shared" ca="1" si="0"/>
        <v>0</v>
      </c>
    </row>
    <row r="19" spans="1:11">
      <c r="A19" s="75"/>
      <c r="B19" s="55" t="s">
        <v>269</v>
      </c>
      <c r="C19" s="13">
        <f t="shared" ca="1" si="1"/>
        <v>0.51330798479087458</v>
      </c>
      <c r="D19" s="56">
        <v>30</v>
      </c>
      <c r="E19" s="122">
        <v>3</v>
      </c>
      <c r="F19" s="65">
        <f t="shared" ca="1" si="0"/>
        <v>0.38498098859315594</v>
      </c>
    </row>
    <row r="20" spans="1:11">
      <c r="A20" s="75"/>
      <c r="B20" s="55" t="s">
        <v>270</v>
      </c>
      <c r="C20" s="13">
        <f t="shared" ca="1" si="1"/>
        <v>0.51330798479087458</v>
      </c>
      <c r="D20" s="56">
        <v>30</v>
      </c>
      <c r="E20" s="122">
        <v>3</v>
      </c>
      <c r="F20" s="65">
        <f t="shared" ca="1" si="0"/>
        <v>0.38498098859315594</v>
      </c>
    </row>
    <row r="21" spans="1:11">
      <c r="A21" s="75"/>
      <c r="B21" s="55" t="s">
        <v>380</v>
      </c>
      <c r="C21" s="13">
        <f t="shared" ca="1" si="1"/>
        <v>0.34220532319391633</v>
      </c>
      <c r="D21" s="56">
        <v>20</v>
      </c>
      <c r="E21" s="122">
        <v>3</v>
      </c>
      <c r="F21" s="65">
        <f t="shared" ca="1" si="0"/>
        <v>0.25665399239543724</v>
      </c>
      <c r="H21" s="138">
        <v>2</v>
      </c>
      <c r="I21" s="136">
        <v>8</v>
      </c>
    </row>
    <row r="22" spans="1:11">
      <c r="A22" s="75"/>
      <c r="B22" s="55" t="s">
        <v>381</v>
      </c>
      <c r="C22" s="13">
        <f t="shared" ca="1" si="1"/>
        <v>6.8441064638783272E-2</v>
      </c>
      <c r="D22" s="56">
        <v>4</v>
      </c>
      <c r="E22" s="4">
        <f>H21/I21*4</f>
        <v>1</v>
      </c>
      <c r="F22" s="65">
        <f t="shared" ca="1" si="0"/>
        <v>1.7110266159695818E-2</v>
      </c>
    </row>
    <row r="23" spans="1:11">
      <c r="A23" s="75"/>
      <c r="B23" s="55" t="s">
        <v>382</v>
      </c>
      <c r="C23" s="13">
        <f t="shared" ca="1" si="1"/>
        <v>0.13688212927756654</v>
      </c>
      <c r="D23" s="56">
        <v>8</v>
      </c>
      <c r="E23" s="122">
        <v>3</v>
      </c>
      <c r="F23" s="65">
        <f t="shared" ca="1" si="0"/>
        <v>0.10266159695817491</v>
      </c>
    </row>
    <row r="24" spans="1:11">
      <c r="A24" s="75"/>
      <c r="B24" s="55" t="s">
        <v>263</v>
      </c>
      <c r="C24" s="13">
        <f t="shared" ca="1" si="1"/>
        <v>0.25665399239543729</v>
      </c>
      <c r="D24" s="56">
        <v>15</v>
      </c>
      <c r="E24" s="122">
        <v>2</v>
      </c>
      <c r="F24" s="65">
        <f t="shared" ca="1" si="0"/>
        <v>0.12832699619771865</v>
      </c>
    </row>
    <row r="25" spans="1:11">
      <c r="A25" s="75"/>
      <c r="B25" s="55" t="s">
        <v>264</v>
      </c>
      <c r="C25" s="13">
        <f t="shared" ca="1" si="1"/>
        <v>6.8441064638783272E-2</v>
      </c>
      <c r="D25" s="56">
        <v>4</v>
      </c>
      <c r="E25" s="122">
        <v>2</v>
      </c>
      <c r="F25" s="65">
        <f t="shared" ca="1" si="0"/>
        <v>3.4220532319391636E-2</v>
      </c>
      <c r="H25" s="100"/>
    </row>
    <row r="26" spans="1:11">
      <c r="A26" s="75"/>
      <c r="B26" s="55" t="s">
        <v>265</v>
      </c>
      <c r="C26" s="13">
        <f t="shared" ca="1" si="1"/>
        <v>3.4220532319391636E-2</v>
      </c>
      <c r="D26" s="56">
        <v>2</v>
      </c>
      <c r="E26" s="122">
        <v>0</v>
      </c>
      <c r="F26" s="65">
        <f t="shared" ca="1" si="0"/>
        <v>0</v>
      </c>
    </row>
    <row r="27" spans="1:11">
      <c r="A27" s="75"/>
      <c r="B27" s="240" t="s">
        <v>383</v>
      </c>
      <c r="C27" s="241"/>
      <c r="D27" s="241"/>
      <c r="E27" s="242"/>
      <c r="F27" s="151"/>
    </row>
    <row r="28" spans="1:11">
      <c r="A28" s="75"/>
      <c r="B28" s="55" t="s">
        <v>266</v>
      </c>
      <c r="C28" s="13">
        <f t="shared" ref="C28:C36" ca="1" si="3">D28/$D$37*$F$4</f>
        <v>8.5551330798479083E-2</v>
      </c>
      <c r="D28" s="56">
        <v>5</v>
      </c>
      <c r="E28" s="122">
        <v>3</v>
      </c>
      <c r="F28" s="65">
        <f t="shared" ca="1" si="0"/>
        <v>6.4163498098859309E-2</v>
      </c>
    </row>
    <row r="29" spans="1:11">
      <c r="A29" s="75"/>
      <c r="B29" s="55" t="s">
        <v>378</v>
      </c>
      <c r="C29" s="13">
        <f t="shared" ca="1" si="3"/>
        <v>1.7110266159695818E-2</v>
      </c>
      <c r="D29" s="56">
        <v>1</v>
      </c>
      <c r="E29" s="122">
        <v>0</v>
      </c>
      <c r="F29" s="65">
        <f t="shared" ca="1" si="0"/>
        <v>0</v>
      </c>
      <c r="K29" s="100"/>
    </row>
    <row r="30" spans="1:11">
      <c r="A30" s="75"/>
      <c r="B30" s="55" t="s">
        <v>374</v>
      </c>
      <c r="C30" s="13">
        <f t="shared" ca="1" si="3"/>
        <v>3.4220532319391636E-2</v>
      </c>
      <c r="D30" s="56">
        <v>2</v>
      </c>
      <c r="E30" s="122">
        <v>2</v>
      </c>
      <c r="F30" s="65">
        <f t="shared" ca="1" si="0"/>
        <v>1.7110266159695818E-2</v>
      </c>
    </row>
    <row r="31" spans="1:11">
      <c r="A31" s="75"/>
      <c r="B31" s="55" t="s">
        <v>385</v>
      </c>
      <c r="C31" s="13">
        <f t="shared" ca="1" si="3"/>
        <v>0.20532319391634982</v>
      </c>
      <c r="D31" s="56">
        <v>12</v>
      </c>
      <c r="E31" s="122">
        <v>2</v>
      </c>
      <c r="F31" s="65">
        <f t="shared" ca="1" si="0"/>
        <v>0.10266159695817491</v>
      </c>
    </row>
    <row r="32" spans="1:11">
      <c r="A32" s="75"/>
      <c r="B32" s="55" t="s">
        <v>384</v>
      </c>
      <c r="C32" s="13">
        <f t="shared" ca="1" si="3"/>
        <v>6.8441064638783272E-2</v>
      </c>
      <c r="D32" s="56">
        <v>4</v>
      </c>
      <c r="E32" s="122">
        <v>0</v>
      </c>
      <c r="F32" s="65">
        <f t="shared" ca="1" si="0"/>
        <v>0</v>
      </c>
    </row>
    <row r="33" spans="1:8">
      <c r="A33" s="75"/>
      <c r="B33" s="55" t="s">
        <v>267</v>
      </c>
      <c r="C33" s="13">
        <f t="shared" ca="1" si="3"/>
        <v>0.25665399239543729</v>
      </c>
      <c r="D33" s="56">
        <v>15</v>
      </c>
      <c r="E33" s="122">
        <v>3</v>
      </c>
      <c r="F33" s="65">
        <f t="shared" ca="1" si="0"/>
        <v>0.19249049429657797</v>
      </c>
    </row>
    <row r="34" spans="1:8">
      <c r="A34" s="75"/>
      <c r="B34" s="55" t="s">
        <v>268</v>
      </c>
      <c r="C34" s="13">
        <f t="shared" ca="1" si="3"/>
        <v>0.13688212927756654</v>
      </c>
      <c r="D34" s="56">
        <v>8</v>
      </c>
      <c r="E34" s="122">
        <v>3</v>
      </c>
      <c r="F34" s="65">
        <f t="shared" ca="1" si="0"/>
        <v>0.10266159695817491</v>
      </c>
      <c r="H34" s="100"/>
    </row>
    <row r="35" spans="1:8">
      <c r="A35" s="75"/>
      <c r="B35" s="22" t="s">
        <v>281</v>
      </c>
      <c r="C35" s="13">
        <f t="shared" ca="1" si="3"/>
        <v>5.1330798479087454E-2</v>
      </c>
      <c r="D35" s="64">
        <v>3</v>
      </c>
      <c r="E35" s="122">
        <v>0</v>
      </c>
      <c r="F35" s="65">
        <f t="shared" ca="1" si="0"/>
        <v>0</v>
      </c>
    </row>
    <row r="36" spans="1:8">
      <c r="A36" s="75"/>
      <c r="B36" s="22" t="s">
        <v>282</v>
      </c>
      <c r="C36" s="13">
        <f t="shared" ca="1" si="3"/>
        <v>5.1330798479087454E-2</v>
      </c>
      <c r="D36" s="64">
        <v>3</v>
      </c>
      <c r="E36" s="122">
        <v>0</v>
      </c>
      <c r="F36" s="65">
        <f t="shared" ca="1" si="0"/>
        <v>0</v>
      </c>
    </row>
    <row r="37" spans="1:8" ht="15.75" thickBot="1">
      <c r="A37" s="75"/>
      <c r="B37" s="61" t="s">
        <v>33</v>
      </c>
      <c r="C37" s="62">
        <f ca="1">SUM(C7:C36)</f>
        <v>4.5</v>
      </c>
      <c r="D37" s="62">
        <f>SUM(D7:D36)</f>
        <v>263</v>
      </c>
      <c r="E37" s="82"/>
      <c r="F37" s="83">
        <f ca="1">SUM(F7:F36)</f>
        <v>1.9865019011406846</v>
      </c>
    </row>
    <row r="38" spans="1:8" ht="15.75" thickTop="1">
      <c r="A38" s="75"/>
    </row>
    <row r="39" spans="1:8">
      <c r="A39" s="75"/>
      <c r="B39" s="20" t="s">
        <v>75</v>
      </c>
      <c r="C39" s="216">
        <f>Master!$D$12</f>
        <v>0.1</v>
      </c>
      <c r="D39" s="217"/>
      <c r="E39" s="218"/>
      <c r="F39" s="17">
        <f ca="1">C39*F2</f>
        <v>0.5</v>
      </c>
    </row>
    <row r="40" spans="1:8">
      <c r="A40" s="75"/>
      <c r="B40" s="21" t="s">
        <v>222</v>
      </c>
      <c r="C40" s="21" t="s">
        <v>228</v>
      </c>
      <c r="D40" s="21" t="s">
        <v>9</v>
      </c>
      <c r="E40" s="21" t="s">
        <v>2</v>
      </c>
      <c r="F40" s="60" t="s">
        <v>11</v>
      </c>
    </row>
    <row r="41" spans="1:8">
      <c r="A41" s="75"/>
      <c r="B41" s="67" t="s">
        <v>76</v>
      </c>
      <c r="C41" s="23">
        <f ca="1">D41/$D$45*$F$39</f>
        <v>8.3333333333333329E-2</v>
      </c>
      <c r="D41" s="24">
        <v>15</v>
      </c>
      <c r="E41" s="122">
        <v>3</v>
      </c>
      <c r="F41" s="25">
        <f ca="1">E41/4 * C41</f>
        <v>6.25E-2</v>
      </c>
    </row>
    <row r="42" spans="1:8" ht="15.75" customHeight="1">
      <c r="A42" s="75"/>
      <c r="B42" s="67" t="s">
        <v>77</v>
      </c>
      <c r="C42" s="23">
        <f ca="1">D42/$D$45*$F$39</f>
        <v>8.3333333333333329E-2</v>
      </c>
      <c r="D42" s="24">
        <v>15</v>
      </c>
      <c r="E42" s="122">
        <v>3</v>
      </c>
      <c r="F42" s="25">
        <f ca="1">E42/4 * C42</f>
        <v>6.25E-2</v>
      </c>
    </row>
    <row r="43" spans="1:8" ht="15.75" customHeight="1">
      <c r="B43" s="68" t="s">
        <v>231</v>
      </c>
      <c r="C43" s="23">
        <f ca="1">D43/$D$45*$F$39</f>
        <v>0.16666666666666666</v>
      </c>
      <c r="D43" s="24">
        <v>30</v>
      </c>
      <c r="E43" s="122">
        <v>3</v>
      </c>
      <c r="F43" s="25">
        <f ca="1">E43/4 * C43</f>
        <v>0.125</v>
      </c>
    </row>
    <row r="44" spans="1:8" ht="15.75" customHeight="1">
      <c r="B44" s="68" t="s">
        <v>232</v>
      </c>
      <c r="C44" s="23">
        <f ca="1">D44/$D$45*$F$39</f>
        <v>0.16666666666666666</v>
      </c>
      <c r="D44" s="24">
        <v>30</v>
      </c>
      <c r="E44" s="122">
        <v>3</v>
      </c>
      <c r="F44" s="25">
        <f ca="1">E44/4 * C44</f>
        <v>0.125</v>
      </c>
    </row>
    <row r="45" spans="1:8" ht="15.75" customHeight="1" thickBot="1">
      <c r="B45" s="33" t="s">
        <v>33</v>
      </c>
      <c r="C45" s="34">
        <f ca="1">SUM(C41:C44)</f>
        <v>0.5</v>
      </c>
      <c r="D45" s="34">
        <f>SUM(D41:D44)</f>
        <v>90</v>
      </c>
      <c r="E45" s="35"/>
      <c r="F45" s="34">
        <f ca="1">SUM(F41:F44)</f>
        <v>0.375</v>
      </c>
    </row>
    <row r="46" spans="1:8" ht="15.75" customHeight="1" thickTop="1"/>
    <row r="47" spans="1:8" ht="15.75" customHeight="1" thickBot="1">
      <c r="B47" s="238" t="s">
        <v>219</v>
      </c>
      <c r="C47" s="238"/>
      <c r="D47" s="238"/>
      <c r="E47" s="238"/>
      <c r="F47" s="107">
        <f ca="1">SUM(F37,F45)</f>
        <v>2.3615019011406844</v>
      </c>
    </row>
    <row r="48" spans="1:8" ht="15.75" customHeight="1" thickTop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mergeCells count="7">
    <mergeCell ref="B2:E2"/>
    <mergeCell ref="C4:E4"/>
    <mergeCell ref="C39:E39"/>
    <mergeCell ref="B47:E47"/>
    <mergeCell ref="B6:E6"/>
    <mergeCell ref="B12:E12"/>
    <mergeCell ref="B27:E27"/>
  </mergeCells>
  <dataValidations count="1">
    <dataValidation type="decimal" allowBlank="1" showErrorMessage="1" sqref="E13:E26 E28:E36 E7:E11 E41:E44" xr:uid="{649107E0-F4E3-3E42-8CDA-FCC7753E579B}">
      <formula1>0</formula1>
      <formula2>4</formula2>
    </dataValidation>
  </dataValidations>
  <pageMargins left="0.7" right="0.7" top="0.75" bottom="0.75" header="0" footer="0"/>
  <pageSetup paperSize="9" orientation="portrait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92D0-1504-4700-8B14-9CDD2632511B}">
  <sheetPr>
    <tabColor rgb="FFC00000"/>
  </sheetPr>
  <dimension ref="A1:F998"/>
  <sheetViews>
    <sheetView zoomScaleNormal="100" workbookViewId="0">
      <selection activeCell="L26" sqref="L26"/>
    </sheetView>
  </sheetViews>
  <sheetFormatPr defaultColWidth="14.42578125" defaultRowHeight="15" customHeight="1"/>
  <cols>
    <col min="1" max="1" width="11.42578125" style="5" customWidth="1"/>
    <col min="2" max="2" width="33.42578125" style="5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7" width="13.42578125" style="5" bestFit="1" customWidth="1"/>
    <col min="8" max="26" width="11.42578125" style="5" customWidth="1"/>
    <col min="27" max="16384" width="14.42578125" style="5"/>
  </cols>
  <sheetData>
    <row r="1" spans="1:6" ht="15" customHeight="1">
      <c r="A1" s="110">
        <f ca="1">F10</f>
        <v>0</v>
      </c>
    </row>
    <row r="2" spans="1:6">
      <c r="B2" s="246" t="str" cm="1">
        <f t="array" aca="1" ref="B2" ca="1">RIGHT(CELL("filename", A1), LEN(CELL("filename", A1)) - FIND("]", CELL("filename", A1)))</f>
        <v>AI Var 1 - SVilter</v>
      </c>
      <c r="C2" s="247"/>
      <c r="D2" s="247"/>
      <c r="E2" s="248"/>
      <c r="F2" s="101">
        <f ca="1">INDEX('AI Groups'!C3:G3,MATCH(B2,'AI Groups'!C2:G2))</f>
        <v>10</v>
      </c>
    </row>
    <row r="3" spans="1:6">
      <c r="B3" s="60" t="s">
        <v>222</v>
      </c>
      <c r="C3" s="60" t="s">
        <v>228</v>
      </c>
      <c r="D3" s="60" t="s">
        <v>9</v>
      </c>
      <c r="E3" s="60" t="s">
        <v>2</v>
      </c>
      <c r="F3" s="60" t="s">
        <v>11</v>
      </c>
    </row>
    <row r="4" spans="1:6">
      <c r="B4" s="55" t="s">
        <v>164</v>
      </c>
      <c r="C4" s="13">
        <f t="shared" ref="C4:C9" ca="1" si="0">D4/$D$10*$F$2</f>
        <v>0.22222222222222224</v>
      </c>
      <c r="D4" s="56">
        <v>1</v>
      </c>
      <c r="E4" s="122">
        <v>0</v>
      </c>
      <c r="F4" s="65">
        <f ca="1">E4/4*C4</f>
        <v>0</v>
      </c>
    </row>
    <row r="5" spans="1:6" ht="15" customHeight="1">
      <c r="B5" s="55" t="s">
        <v>165</v>
      </c>
      <c r="C5" s="13">
        <f t="shared" ca="1" si="0"/>
        <v>1.1111111111111112</v>
      </c>
      <c r="D5" s="56">
        <v>5</v>
      </c>
      <c r="E5" s="122">
        <v>0</v>
      </c>
      <c r="F5" s="65">
        <f t="shared" ref="F5:F9" ca="1" si="1">E5/4*C5</f>
        <v>0</v>
      </c>
    </row>
    <row r="6" spans="1:6">
      <c r="B6" s="55" t="s">
        <v>356</v>
      </c>
      <c r="C6" s="13">
        <f t="shared" ca="1" si="0"/>
        <v>2.2222222222222223</v>
      </c>
      <c r="D6" s="56">
        <v>10</v>
      </c>
      <c r="E6" s="122">
        <v>0</v>
      </c>
      <c r="F6" s="65">
        <f t="shared" ca="1" si="1"/>
        <v>0</v>
      </c>
    </row>
    <row r="7" spans="1:6">
      <c r="B7" s="55" t="s">
        <v>359</v>
      </c>
      <c r="C7" s="13">
        <f t="shared" ca="1" si="0"/>
        <v>3.333333333333333</v>
      </c>
      <c r="D7" s="56">
        <v>15</v>
      </c>
      <c r="E7" s="122">
        <v>0</v>
      </c>
      <c r="F7" s="65">
        <f t="shared" ca="1" si="1"/>
        <v>0</v>
      </c>
    </row>
    <row r="8" spans="1:6">
      <c r="B8" s="55" t="s">
        <v>358</v>
      </c>
      <c r="C8" s="13">
        <f t="shared" ca="1" si="0"/>
        <v>1.5555555555555556</v>
      </c>
      <c r="D8" s="56">
        <v>7</v>
      </c>
      <c r="E8" s="122">
        <v>0</v>
      </c>
      <c r="F8" s="65">
        <f t="shared" ca="1" si="1"/>
        <v>0</v>
      </c>
    </row>
    <row r="9" spans="1:6">
      <c r="B9" s="55" t="s">
        <v>357</v>
      </c>
      <c r="C9" s="13">
        <f t="shared" ca="1" si="0"/>
        <v>1.5555555555555556</v>
      </c>
      <c r="D9" s="56">
        <v>7</v>
      </c>
      <c r="E9" s="122">
        <v>0</v>
      </c>
      <c r="F9" s="65">
        <f t="shared" ca="1" si="1"/>
        <v>0</v>
      </c>
    </row>
    <row r="10" spans="1:6" ht="15.75" thickBot="1">
      <c r="B10" s="61" t="s">
        <v>33</v>
      </c>
      <c r="C10" s="62">
        <f ca="1">SUM(C4:C9)</f>
        <v>10</v>
      </c>
      <c r="D10" s="62">
        <f>SUM(D4:D9)</f>
        <v>45</v>
      </c>
      <c r="E10" s="82"/>
      <c r="F10" s="83">
        <f ca="1">SUM(F4:F9)</f>
        <v>0</v>
      </c>
    </row>
    <row r="11" spans="1:6" ht="15.75" thickTop="1"/>
    <row r="12" spans="1:6"/>
    <row r="13" spans="1:6"/>
    <row r="14" spans="1:6"/>
    <row r="16" spans="1:6"/>
    <row r="17"/>
    <row r="18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B2:E2"/>
  </mergeCells>
  <dataValidations count="1">
    <dataValidation type="decimal" allowBlank="1" showErrorMessage="1" sqref="E4:E9" xr:uid="{75155BC1-52CA-4E2D-81F9-8CD431091531}">
      <formula1>0</formula1>
      <formula2>4</formula2>
    </dataValidation>
  </dataValidations>
  <pageMargins left="0.7" right="0.7" top="0.75" bottom="0.75" header="0" footer="0"/>
  <pageSetup paperSize="9" orientation="portrait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85D4-AB34-45D4-95D3-11EBE6EEE9D3}">
  <sheetPr>
    <tabColor rgb="FFC00000"/>
  </sheetPr>
  <dimension ref="A1:F1002"/>
  <sheetViews>
    <sheetView zoomScaleNormal="100" workbookViewId="0">
      <selection activeCell="H21" sqref="H21"/>
    </sheetView>
  </sheetViews>
  <sheetFormatPr defaultColWidth="14.42578125" defaultRowHeight="15" customHeight="1"/>
  <cols>
    <col min="1" max="1" width="11.42578125" style="5" customWidth="1"/>
    <col min="2" max="2" width="33.42578125" style="5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7" width="13.42578125" style="5" bestFit="1" customWidth="1"/>
    <col min="8" max="26" width="11.42578125" style="5" customWidth="1"/>
    <col min="27" max="16384" width="14.42578125" style="5"/>
  </cols>
  <sheetData>
    <row r="1" spans="1:6" ht="15" customHeight="1">
      <c r="A1" s="110">
        <f ca="1">F14</f>
        <v>0</v>
      </c>
    </row>
    <row r="2" spans="1:6">
      <c r="B2" s="246" t="str" cm="1">
        <f t="array" aca="1" ref="B2" ca="1">RIGHT(CELL("filename", A1), LEN(CELL("filename", A1)) - FIND("]", CELL("filename", A1)))</f>
        <v>AI Var 2 - SVign</v>
      </c>
      <c r="C2" s="247"/>
      <c r="D2" s="247"/>
      <c r="E2" s="248"/>
      <c r="F2" s="101">
        <f ca="1">INDEX('AI Groups'!C3:G3,MATCH(B2,'AI Groups'!C2:G2))</f>
        <v>12</v>
      </c>
    </row>
    <row r="3" spans="1:6">
      <c r="B3" s="60" t="s">
        <v>222</v>
      </c>
      <c r="C3" s="60" t="s">
        <v>228</v>
      </c>
      <c r="D3" s="60" t="s">
        <v>9</v>
      </c>
      <c r="E3" s="60" t="s">
        <v>2</v>
      </c>
      <c r="F3" s="60" t="s">
        <v>11</v>
      </c>
    </row>
    <row r="4" spans="1:6">
      <c r="B4" s="55" t="s">
        <v>166</v>
      </c>
      <c r="C4" s="13">
        <f ca="1">D4/$D$14*$F$2</f>
        <v>0.89999999999999991</v>
      </c>
      <c r="D4" s="56">
        <v>6</v>
      </c>
      <c r="E4" s="122">
        <v>0</v>
      </c>
      <c r="F4" s="65">
        <f ca="1">E4/4*C4</f>
        <v>0</v>
      </c>
    </row>
    <row r="5" spans="1:6" ht="15" customHeight="1">
      <c r="B5" s="55" t="s">
        <v>400</v>
      </c>
      <c r="C5" s="13">
        <f t="shared" ref="C5:C13" ca="1" si="0">D5/$D$14*$F$2</f>
        <v>1.5</v>
      </c>
      <c r="D5" s="56">
        <v>10</v>
      </c>
      <c r="E5" s="122">
        <v>0</v>
      </c>
      <c r="F5" s="65">
        <f t="shared" ref="F5:F13" ca="1" si="1">E5/4*C5</f>
        <v>0</v>
      </c>
    </row>
    <row r="6" spans="1:6">
      <c r="B6" s="55" t="s">
        <v>360</v>
      </c>
      <c r="C6" s="13">
        <f t="shared" ca="1" si="0"/>
        <v>0.30000000000000004</v>
      </c>
      <c r="D6" s="56">
        <v>2</v>
      </c>
      <c r="E6" s="122">
        <v>0</v>
      </c>
      <c r="F6" s="65">
        <f t="shared" ca="1" si="1"/>
        <v>0</v>
      </c>
    </row>
    <row r="7" spans="1:6">
      <c r="B7" s="55" t="s">
        <v>361</v>
      </c>
      <c r="C7" s="13">
        <f t="shared" ca="1" si="0"/>
        <v>0.30000000000000004</v>
      </c>
      <c r="D7" s="56">
        <v>2</v>
      </c>
      <c r="E7" s="122">
        <v>0</v>
      </c>
      <c r="F7" s="65">
        <f t="shared" ca="1" si="1"/>
        <v>0</v>
      </c>
    </row>
    <row r="8" spans="1:6">
      <c r="B8" s="55" t="s">
        <v>167</v>
      </c>
      <c r="C8" s="13">
        <f t="shared" ca="1" si="0"/>
        <v>0.75</v>
      </c>
      <c r="D8" s="56">
        <v>5</v>
      </c>
      <c r="E8" s="122">
        <v>0</v>
      </c>
      <c r="F8" s="65">
        <f t="shared" ca="1" si="1"/>
        <v>0</v>
      </c>
    </row>
    <row r="9" spans="1:6">
      <c r="B9" s="55" t="s">
        <v>168</v>
      </c>
      <c r="C9" s="13">
        <f t="shared" ca="1" si="0"/>
        <v>3</v>
      </c>
      <c r="D9" s="56">
        <v>20</v>
      </c>
      <c r="E9" s="122">
        <v>0</v>
      </c>
      <c r="F9" s="65">
        <f t="shared" ca="1" si="1"/>
        <v>0</v>
      </c>
    </row>
    <row r="10" spans="1:6">
      <c r="B10" s="55" t="s">
        <v>169</v>
      </c>
      <c r="C10" s="13">
        <f t="shared" ca="1" si="0"/>
        <v>1.5</v>
      </c>
      <c r="D10" s="56">
        <v>10</v>
      </c>
      <c r="E10" s="122">
        <v>0</v>
      </c>
      <c r="F10" s="65">
        <f t="shared" ca="1" si="1"/>
        <v>0</v>
      </c>
    </row>
    <row r="11" spans="1:6">
      <c r="B11" s="55" t="s">
        <v>170</v>
      </c>
      <c r="C11" s="13">
        <f t="shared" ca="1" si="0"/>
        <v>1.5</v>
      </c>
      <c r="D11" s="56">
        <v>10</v>
      </c>
      <c r="E11" s="122">
        <v>0</v>
      </c>
      <c r="F11" s="65">
        <f t="shared" ca="1" si="1"/>
        <v>0</v>
      </c>
    </row>
    <row r="12" spans="1:6">
      <c r="B12" s="55" t="s">
        <v>171</v>
      </c>
      <c r="C12" s="13">
        <f t="shared" ca="1" si="0"/>
        <v>0.75</v>
      </c>
      <c r="D12" s="56">
        <v>5</v>
      </c>
      <c r="E12" s="122">
        <v>0</v>
      </c>
      <c r="F12" s="65">
        <f t="shared" ca="1" si="1"/>
        <v>0</v>
      </c>
    </row>
    <row r="13" spans="1:6">
      <c r="B13" s="55" t="s">
        <v>172</v>
      </c>
      <c r="C13" s="13">
        <f t="shared" ca="1" si="0"/>
        <v>1.5</v>
      </c>
      <c r="D13" s="56">
        <v>10</v>
      </c>
      <c r="E13" s="122">
        <v>0</v>
      </c>
      <c r="F13" s="65">
        <f t="shared" ca="1" si="1"/>
        <v>0</v>
      </c>
    </row>
    <row r="14" spans="1:6" ht="15.75" thickBot="1">
      <c r="B14" s="61" t="s">
        <v>33</v>
      </c>
      <c r="C14" s="62">
        <f ca="1">SUM(C4:C13)</f>
        <v>12</v>
      </c>
      <c r="D14" s="62">
        <f>SUM(D4:D13)</f>
        <v>80</v>
      </c>
      <c r="E14" s="82"/>
      <c r="F14" s="83">
        <f ca="1">SUM(F4:F13)</f>
        <v>0</v>
      </c>
    </row>
    <row r="15" spans="1:6" ht="15.75" thickTop="1"/>
    <row r="16" spans="1:6"/>
    <row r="17" spans="6:6"/>
    <row r="18" spans="6:6"/>
    <row r="20" spans="6:6"/>
    <row r="21" spans="6:6"/>
    <row r="22" spans="6:6"/>
    <row r="23" spans="6:6" ht="15.75" customHeight="1"/>
    <row r="24" spans="6:6" ht="15.75" customHeight="1"/>
    <row r="25" spans="6:6" ht="15.75" customHeight="1"/>
    <row r="26" spans="6:6" ht="15.75" customHeight="1"/>
    <row r="27" spans="6:6" ht="15.75" customHeight="1"/>
    <row r="28" spans="6:6" ht="15.75" customHeight="1"/>
    <row r="29" spans="6:6" ht="15.75" customHeight="1"/>
    <row r="30" spans="6:6" ht="15.75" customHeight="1"/>
    <row r="31" spans="6:6" ht="15.75" customHeight="1">
      <c r="F31" s="71"/>
    </row>
    <row r="32" spans="6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B2:E2"/>
  </mergeCells>
  <dataValidations count="1">
    <dataValidation type="decimal" allowBlank="1" showErrorMessage="1" sqref="E4:E13" xr:uid="{A8A40B1D-2E1B-4C53-B2CC-93976BF55B9D}">
      <formula1>0</formula1>
      <formula2>4</formula2>
    </dataValidation>
  </dataValidations>
  <pageMargins left="0.7" right="0.7" top="0.75" bottom="0.75" header="0" footer="0"/>
  <pageSetup paperSize="9" orientation="portrait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274D-D660-4522-9580-53D6F4A52443}">
  <sheetPr>
    <tabColor rgb="FFC00000"/>
  </sheetPr>
  <dimension ref="A1:F1001"/>
  <sheetViews>
    <sheetView zoomScaleNormal="100" workbookViewId="0">
      <selection activeCell="E4" sqref="E4:E12"/>
    </sheetView>
  </sheetViews>
  <sheetFormatPr defaultColWidth="14.42578125" defaultRowHeight="15" customHeight="1"/>
  <cols>
    <col min="1" max="1" width="11.42578125" style="71" customWidth="1"/>
    <col min="2" max="2" width="33.42578125" style="71" customWidth="1"/>
    <col min="3" max="3" width="5.85546875" style="71" customWidth="1"/>
    <col min="4" max="4" width="7.42578125" style="71" customWidth="1"/>
    <col min="5" max="5" width="5.85546875" style="71" customWidth="1"/>
    <col min="6" max="6" width="19.140625" style="71" customWidth="1"/>
    <col min="7" max="26" width="11.42578125" style="71" customWidth="1"/>
    <col min="27" max="16384" width="14.42578125" style="71"/>
  </cols>
  <sheetData>
    <row r="1" spans="1:6" ht="15" customHeight="1">
      <c r="A1" s="111">
        <f ca="1">F13</f>
        <v>0</v>
      </c>
    </row>
    <row r="2" spans="1:6">
      <c r="B2" s="246" t="str" cm="1">
        <f t="array" aca="1" ref="B2" ca="1">RIGHT(CELL("filename", A1), LEN(CELL("filename", A1)) - FIND("]", CELL("filename", A1)))</f>
        <v>AI Var 3 - SaVe</v>
      </c>
      <c r="C2" s="247"/>
      <c r="D2" s="247"/>
      <c r="E2" s="248"/>
      <c r="F2" s="101">
        <f ca="1">INDEX('AI Groups'!C3:G3,MATCH(B2,'AI Groups'!C2:G2))</f>
        <v>8</v>
      </c>
    </row>
    <row r="3" spans="1:6">
      <c r="B3" s="60" t="s">
        <v>222</v>
      </c>
      <c r="C3" s="60" t="s">
        <v>228</v>
      </c>
      <c r="D3" s="60" t="s">
        <v>9</v>
      </c>
      <c r="E3" s="60" t="s">
        <v>2</v>
      </c>
      <c r="F3" s="60" t="s">
        <v>11</v>
      </c>
    </row>
    <row r="4" spans="1:6">
      <c r="B4" s="55" t="s">
        <v>167</v>
      </c>
      <c r="C4" s="13">
        <f ca="1">D4/$D$13*$F$2</f>
        <v>0.1951219512195122</v>
      </c>
      <c r="D4" s="56">
        <v>1</v>
      </c>
      <c r="E4" s="122">
        <v>0</v>
      </c>
      <c r="F4" s="65">
        <f ca="1">E4/4*C4</f>
        <v>0</v>
      </c>
    </row>
    <row r="5" spans="1:6" ht="15" customHeight="1">
      <c r="B5" s="55" t="s">
        <v>168</v>
      </c>
      <c r="C5" s="13">
        <f t="shared" ref="C5:C12" ca="1" si="0">D5/$D$13*$F$2</f>
        <v>1.9512195121951219</v>
      </c>
      <c r="D5" s="56">
        <v>10</v>
      </c>
      <c r="E5" s="122">
        <v>0</v>
      </c>
      <c r="F5" s="65">
        <f t="shared" ref="F5:F12" ca="1" si="1">E5/4*C5</f>
        <v>0</v>
      </c>
    </row>
    <row r="6" spans="1:6">
      <c r="B6" s="55" t="s">
        <v>169</v>
      </c>
      <c r="C6" s="13">
        <f t="shared" ca="1" si="0"/>
        <v>0.97560975609756095</v>
      </c>
      <c r="D6" s="56">
        <v>5</v>
      </c>
      <c r="E6" s="122">
        <v>0</v>
      </c>
      <c r="F6" s="65">
        <f t="shared" ca="1" si="1"/>
        <v>0</v>
      </c>
    </row>
    <row r="7" spans="1:6">
      <c r="B7" s="55" t="s">
        <v>170</v>
      </c>
      <c r="C7" s="13">
        <f t="shared" ca="1" si="0"/>
        <v>0.97560975609756095</v>
      </c>
      <c r="D7" s="56">
        <v>5</v>
      </c>
      <c r="E7" s="122">
        <v>0</v>
      </c>
      <c r="F7" s="65">
        <f t="shared" ca="1" si="1"/>
        <v>0</v>
      </c>
    </row>
    <row r="8" spans="1:6">
      <c r="B8" s="55" t="s">
        <v>171</v>
      </c>
      <c r="C8" s="13">
        <f t="shared" ca="1" si="0"/>
        <v>0.58536585365853655</v>
      </c>
      <c r="D8" s="56">
        <v>3</v>
      </c>
      <c r="E8" s="122">
        <v>0</v>
      </c>
      <c r="F8" s="65">
        <f t="shared" ca="1" si="1"/>
        <v>0</v>
      </c>
    </row>
    <row r="9" spans="1:6">
      <c r="B9" s="55" t="s">
        <v>78</v>
      </c>
      <c r="C9" s="13">
        <f t="shared" ca="1" si="0"/>
        <v>0.3902439024390244</v>
      </c>
      <c r="D9" s="56">
        <v>2</v>
      </c>
      <c r="E9" s="122">
        <v>0</v>
      </c>
      <c r="F9" s="65">
        <f t="shared" ca="1" si="1"/>
        <v>0</v>
      </c>
    </row>
    <row r="10" spans="1:6">
      <c r="B10" s="55" t="s">
        <v>173</v>
      </c>
      <c r="C10" s="13">
        <f t="shared" ca="1" si="0"/>
        <v>0.97560975609756095</v>
      </c>
      <c r="D10" s="56">
        <v>5</v>
      </c>
      <c r="E10" s="122">
        <v>0</v>
      </c>
      <c r="F10" s="65">
        <f t="shared" ca="1" si="1"/>
        <v>0</v>
      </c>
    </row>
    <row r="11" spans="1:6">
      <c r="B11" s="55" t="s">
        <v>362</v>
      </c>
      <c r="C11" s="13">
        <f t="shared" ca="1" si="0"/>
        <v>0.97560975609756095</v>
      </c>
      <c r="D11" s="56">
        <v>5</v>
      </c>
      <c r="E11" s="122">
        <v>0</v>
      </c>
      <c r="F11" s="65">
        <f t="shared" ca="1" si="1"/>
        <v>0</v>
      </c>
    </row>
    <row r="12" spans="1:6">
      <c r="B12" s="55" t="s">
        <v>363</v>
      </c>
      <c r="C12" s="13">
        <f t="shared" ca="1" si="0"/>
        <v>0.97560975609756095</v>
      </c>
      <c r="D12" s="56">
        <v>5</v>
      </c>
      <c r="E12" s="122">
        <v>0</v>
      </c>
      <c r="F12" s="65">
        <f t="shared" ca="1" si="1"/>
        <v>0</v>
      </c>
    </row>
    <row r="13" spans="1:6" ht="15.75" thickBot="1">
      <c r="B13" s="61" t="s">
        <v>33</v>
      </c>
      <c r="C13" s="62">
        <f ca="1">SUM(C4:C12)</f>
        <v>8</v>
      </c>
      <c r="D13" s="62">
        <f>SUM(D4:D12)</f>
        <v>41</v>
      </c>
      <c r="E13" s="82"/>
      <c r="F13" s="83">
        <f ca="1">SUM(F4:F12)</f>
        <v>0</v>
      </c>
    </row>
    <row r="14" spans="1:6" ht="15.75" thickTop="1"/>
    <row r="15" spans="1:6"/>
    <row r="16" spans="1:6"/>
    <row r="17"/>
    <row r="19"/>
    <row r="20"/>
    <row r="2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2:E2"/>
  </mergeCells>
  <dataValidations count="1">
    <dataValidation type="decimal" allowBlank="1" showErrorMessage="1" sqref="E4:E12" xr:uid="{A39FDBA6-2E91-4225-956C-D97712BA0ED4}">
      <formula1>0</formula1>
      <formula2>4</formula2>
    </dataValidation>
  </dataValidations>
  <pageMargins left="0.7" right="0.7" top="0.75" bottom="0.75" header="0" footer="0"/>
  <pageSetup paperSize="9"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F9D6-AF26-4925-9692-17A376BB6CAD}">
  <sheetPr>
    <tabColor rgb="FFC00000"/>
  </sheetPr>
  <dimension ref="A1:F998"/>
  <sheetViews>
    <sheetView zoomScaleNormal="100" workbookViewId="0">
      <selection activeCell="B5" sqref="B5"/>
    </sheetView>
  </sheetViews>
  <sheetFormatPr defaultColWidth="14.42578125" defaultRowHeight="15" customHeight="1"/>
  <cols>
    <col min="1" max="1" width="11.42578125" style="5" customWidth="1"/>
    <col min="2" max="2" width="33.42578125" style="5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26" width="11.42578125" style="5" customWidth="1"/>
    <col min="27" max="16384" width="14.42578125" style="5"/>
  </cols>
  <sheetData>
    <row r="1" spans="1:6" ht="15" customHeight="1">
      <c r="A1" s="110">
        <f ca="1">F10</f>
        <v>0</v>
      </c>
    </row>
    <row r="2" spans="1:6">
      <c r="B2" s="246" t="str" cm="1">
        <f t="array" aca="1" ref="B2" ca="1">RIGHT(CELL("filename", A1), LEN(CELL("filename", A1)) - FIND("]", CELL("filename", A1)))</f>
        <v>AI Var 4 - ShaVam</v>
      </c>
      <c r="C2" s="247"/>
      <c r="D2" s="247"/>
      <c r="E2" s="248"/>
      <c r="F2" s="101">
        <f ca="1">INDEX('AI Groups'!C3:G3,MATCH($B$2,'AI Groups'!C2:G2))</f>
        <v>10</v>
      </c>
    </row>
    <row r="3" spans="1:6">
      <c r="B3" s="60" t="s">
        <v>222</v>
      </c>
      <c r="C3" s="60" t="s">
        <v>228</v>
      </c>
      <c r="D3" s="60" t="s">
        <v>9</v>
      </c>
      <c r="E3" s="60" t="s">
        <v>2</v>
      </c>
      <c r="F3" s="60" t="s">
        <v>11</v>
      </c>
    </row>
    <row r="4" spans="1:6">
      <c r="B4" s="55" t="s">
        <v>174</v>
      </c>
      <c r="C4" s="13">
        <f ca="1">D4/$D$10*$F$2</f>
        <v>2.9411764705882355</v>
      </c>
      <c r="D4" s="56">
        <v>20</v>
      </c>
      <c r="E4" s="122">
        <v>0</v>
      </c>
      <c r="F4" s="65">
        <f ca="1">E4/4*C4</f>
        <v>0</v>
      </c>
    </row>
    <row r="5" spans="1:6" ht="15" customHeight="1">
      <c r="B5" s="55" t="s">
        <v>168</v>
      </c>
      <c r="C5" s="13">
        <f t="shared" ref="C5:C9" ca="1" si="0">D5/$D$10*$F$2</f>
        <v>2.9411764705882355</v>
      </c>
      <c r="D5" s="56">
        <v>20</v>
      </c>
      <c r="E5" s="122">
        <v>0</v>
      </c>
      <c r="F5" s="65">
        <f t="shared" ref="F5:F9" ca="1" si="1">E5/4*C5</f>
        <v>0</v>
      </c>
    </row>
    <row r="6" spans="1:6">
      <c r="B6" s="55" t="s">
        <v>169</v>
      </c>
      <c r="C6" s="13">
        <f t="shared" ca="1" si="0"/>
        <v>1.4705882352941178</v>
      </c>
      <c r="D6" s="56">
        <v>10</v>
      </c>
      <c r="E6" s="122">
        <v>0</v>
      </c>
      <c r="F6" s="65">
        <f t="shared" ca="1" si="1"/>
        <v>0</v>
      </c>
    </row>
    <row r="7" spans="1:6">
      <c r="B7" s="55" t="s">
        <v>170</v>
      </c>
      <c r="C7" s="13">
        <f t="shared" ca="1" si="0"/>
        <v>1.4705882352941178</v>
      </c>
      <c r="D7" s="56">
        <v>10</v>
      </c>
      <c r="E7" s="122">
        <v>0</v>
      </c>
      <c r="F7" s="65">
        <f t="shared" ca="1" si="1"/>
        <v>0</v>
      </c>
    </row>
    <row r="8" spans="1:6">
      <c r="B8" s="55" t="s">
        <v>171</v>
      </c>
      <c r="C8" s="13">
        <f t="shared" ca="1" si="0"/>
        <v>0.58823529411764708</v>
      </c>
      <c r="D8" s="56">
        <v>4</v>
      </c>
      <c r="E8" s="122">
        <v>0</v>
      </c>
      <c r="F8" s="65">
        <f t="shared" ca="1" si="1"/>
        <v>0</v>
      </c>
    </row>
    <row r="9" spans="1:6">
      <c r="B9" s="55" t="s">
        <v>172</v>
      </c>
      <c r="C9" s="13">
        <f t="shared" ca="1" si="0"/>
        <v>0.58823529411764708</v>
      </c>
      <c r="D9" s="56">
        <v>4</v>
      </c>
      <c r="E9" s="122">
        <v>0</v>
      </c>
      <c r="F9" s="65">
        <f t="shared" ca="1" si="1"/>
        <v>0</v>
      </c>
    </row>
    <row r="10" spans="1:6" ht="15.75" thickBot="1">
      <c r="B10" s="61" t="s">
        <v>33</v>
      </c>
      <c r="C10" s="62">
        <f ca="1">SUM(C4:C9)</f>
        <v>10</v>
      </c>
      <c r="D10" s="62">
        <f>SUM(D4:D9)</f>
        <v>68</v>
      </c>
      <c r="E10" s="84"/>
      <c r="F10" s="83">
        <f ca="1">SUM(F4:F9)</f>
        <v>0</v>
      </c>
    </row>
    <row r="11" spans="1:6" ht="15.75" thickTop="1"/>
    <row r="12" spans="1:6"/>
    <row r="13" spans="1:6"/>
    <row r="14" spans="1:6"/>
    <row r="16" spans="1:6"/>
    <row r="17"/>
    <row r="18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B2:E2"/>
  </mergeCells>
  <dataValidations count="1">
    <dataValidation type="decimal" allowBlank="1" showErrorMessage="1" sqref="E4:E9" xr:uid="{267B62E6-F5EF-4139-8FA1-B3471714840C}">
      <formula1>0</formula1>
      <formula2>4</formula2>
    </dataValidation>
  </dataValidations>
  <pageMargins left="0.7" right="0.7" top="0.75" bottom="0.75" header="0" footer="0"/>
  <pageSetup paperSize="9" orientation="portrait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A8BA-74F3-4F9F-B451-B3C64AFA1D75}">
  <sheetPr>
    <tabColor rgb="FFC00000"/>
  </sheetPr>
  <dimension ref="A1:F1001"/>
  <sheetViews>
    <sheetView tabSelected="1" zoomScale="113" zoomScaleNormal="100" workbookViewId="0">
      <selection activeCell="F18" sqref="F18"/>
    </sheetView>
  </sheetViews>
  <sheetFormatPr defaultColWidth="14.42578125" defaultRowHeight="15" customHeight="1"/>
  <cols>
    <col min="1" max="1" width="11.42578125" style="5" customWidth="1"/>
    <col min="2" max="2" width="33.42578125" style="5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7" width="12" style="5" bestFit="1" customWidth="1"/>
    <col min="8" max="26" width="11.42578125" style="5" customWidth="1"/>
    <col min="27" max="16384" width="14.42578125" style="5"/>
  </cols>
  <sheetData>
    <row r="1" spans="1:6" ht="15" customHeight="1">
      <c r="A1" s="110">
        <f ca="1">F13</f>
        <v>7.120000000000001</v>
      </c>
    </row>
    <row r="2" spans="1:6">
      <c r="B2" s="246" t="str" cm="1">
        <f t="array" aca="1" ref="B2" ca="1">RIGHT(CELL("filename", A1), LEN(CELL("filename", A1)) - FIND("]", CELL("filename", A1)))</f>
        <v>AI Var 5 - SVideo Captions</v>
      </c>
      <c r="C2" s="247"/>
      <c r="D2" s="247"/>
      <c r="E2" s="248"/>
      <c r="F2" s="101">
        <f ca="1">INDEX('AI Groups'!C3:G3,MATCH(B2,'AI Groups'!C2:G2))</f>
        <v>8</v>
      </c>
    </row>
    <row r="3" spans="1:6">
      <c r="B3" s="60" t="s">
        <v>222</v>
      </c>
      <c r="C3" s="60" t="s">
        <v>228</v>
      </c>
      <c r="D3" s="60" t="s">
        <v>9</v>
      </c>
      <c r="E3" s="60" t="s">
        <v>2</v>
      </c>
      <c r="F3" s="60" t="s">
        <v>11</v>
      </c>
    </row>
    <row r="4" spans="1:6">
      <c r="B4" s="85" t="s">
        <v>174</v>
      </c>
      <c r="C4" s="13">
        <f ca="1">D4/$D$13*$F$2</f>
        <v>0.64</v>
      </c>
      <c r="D4" s="86">
        <v>8</v>
      </c>
      <c r="E4" s="121">
        <v>3</v>
      </c>
      <c r="F4" s="65">
        <f ca="1">E4/4*C4</f>
        <v>0.48</v>
      </c>
    </row>
    <row r="5" spans="1:6" ht="15" customHeight="1">
      <c r="B5" s="85" t="s">
        <v>175</v>
      </c>
      <c r="C5" s="13">
        <f t="shared" ref="C5:C12" ca="1" si="0">D5/$D$13*$F$2</f>
        <v>1.2</v>
      </c>
      <c r="D5" s="86">
        <v>15</v>
      </c>
      <c r="E5" s="121">
        <v>3</v>
      </c>
      <c r="F5" s="65">
        <f t="shared" ref="F5:F11" ca="1" si="1">E5/4*C5</f>
        <v>0.89999999999999991</v>
      </c>
    </row>
    <row r="6" spans="1:6">
      <c r="B6" s="85" t="s">
        <v>176</v>
      </c>
      <c r="C6" s="13">
        <f t="shared" ca="1" si="0"/>
        <v>1.2</v>
      </c>
      <c r="D6" s="86">
        <v>15</v>
      </c>
      <c r="E6" s="121">
        <v>3</v>
      </c>
      <c r="F6" s="65">
        <f t="shared" ca="1" si="1"/>
        <v>0.89999999999999991</v>
      </c>
    </row>
    <row r="7" spans="1:6">
      <c r="B7" s="85" t="s">
        <v>364</v>
      </c>
      <c r="C7" s="13">
        <f t="shared" ca="1" si="0"/>
        <v>1.2</v>
      </c>
      <c r="D7" s="86">
        <v>15</v>
      </c>
      <c r="E7" s="121">
        <v>4</v>
      </c>
      <c r="F7" s="65">
        <f ca="1">E7/4*C7</f>
        <v>1.2</v>
      </c>
    </row>
    <row r="8" spans="1:6">
      <c r="B8" s="85" t="s">
        <v>365</v>
      </c>
      <c r="C8" s="13">
        <f t="shared" ca="1" si="0"/>
        <v>1.2</v>
      </c>
      <c r="D8" s="86">
        <v>15</v>
      </c>
      <c r="E8" s="121">
        <v>4</v>
      </c>
      <c r="F8" s="65">
        <f t="shared" ca="1" si="1"/>
        <v>1.2</v>
      </c>
    </row>
    <row r="9" spans="1:6">
      <c r="B9" s="85" t="s">
        <v>171</v>
      </c>
      <c r="C9" s="13">
        <f t="shared" ca="1" si="0"/>
        <v>0.48</v>
      </c>
      <c r="D9" s="86">
        <v>6</v>
      </c>
      <c r="E9" s="121">
        <v>3</v>
      </c>
      <c r="F9" s="65">
        <f t="shared" ca="1" si="1"/>
        <v>0.36</v>
      </c>
    </row>
    <row r="10" spans="1:6">
      <c r="B10" s="85" t="s">
        <v>368</v>
      </c>
      <c r="C10" s="13">
        <f t="shared" ca="1" si="0"/>
        <v>0.24</v>
      </c>
      <c r="D10" s="86">
        <v>3</v>
      </c>
      <c r="E10" s="121">
        <v>4</v>
      </c>
      <c r="F10" s="65">
        <f ca="1">E10/4*C10</f>
        <v>0.24</v>
      </c>
    </row>
    <row r="11" spans="1:6">
      <c r="B11" s="85" t="s">
        <v>366</v>
      </c>
      <c r="C11" s="13">
        <f t="shared" ca="1" si="0"/>
        <v>1.6</v>
      </c>
      <c r="D11" s="86">
        <v>20</v>
      </c>
      <c r="E11" s="121">
        <v>4</v>
      </c>
      <c r="F11" s="65">
        <f t="shared" ca="1" si="1"/>
        <v>1.6</v>
      </c>
    </row>
    <row r="12" spans="1:6">
      <c r="B12" s="85" t="s">
        <v>367</v>
      </c>
      <c r="C12" s="13">
        <f t="shared" ca="1" si="0"/>
        <v>0.24</v>
      </c>
      <c r="D12" s="86">
        <v>3</v>
      </c>
      <c r="E12" s="121">
        <v>4</v>
      </c>
      <c r="F12" s="65">
        <f ca="1">E12/4*C12</f>
        <v>0.24</v>
      </c>
    </row>
    <row r="13" spans="1:6" ht="15.75" thickBot="1">
      <c r="B13" s="61" t="s">
        <v>33</v>
      </c>
      <c r="C13" s="62">
        <f ca="1">SUM(C4:C12)</f>
        <v>8</v>
      </c>
      <c r="D13" s="62">
        <f>SUM(D4:D12)</f>
        <v>100</v>
      </c>
      <c r="E13" s="84"/>
      <c r="F13" s="83">
        <f ca="1">SUM(F4:F12)</f>
        <v>7.120000000000001</v>
      </c>
    </row>
    <row r="14" spans="1:6" ht="15.75" thickTop="1"/>
    <row r="15" spans="1:6"/>
    <row r="16" spans="1:6"/>
    <row r="17"/>
    <row r="19"/>
    <row r="20"/>
    <row r="2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2:E2"/>
  </mergeCells>
  <dataValidations count="1">
    <dataValidation type="decimal" allowBlank="1" showErrorMessage="1" sqref="E4:E12" xr:uid="{B0A49799-EE24-4689-B298-50FEF24D0147}">
      <formula1>0</formula1>
      <formula2>4</formula2>
    </dataValidation>
  </dataValidations>
  <pageMargins left="0.7" right="0.7" top="0.75" bottom="0.75" header="0" footer="0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826C-C592-48C2-B27D-D4753B9A0549}">
  <sheetPr>
    <tabColor rgb="FFC00000"/>
  </sheetPr>
  <dimension ref="B2:G989"/>
  <sheetViews>
    <sheetView zoomScaleNormal="100" workbookViewId="0">
      <selection activeCell="F24" sqref="F24"/>
    </sheetView>
  </sheetViews>
  <sheetFormatPr defaultColWidth="14.42578125" defaultRowHeight="15" customHeight="1"/>
  <cols>
    <col min="1" max="1" width="11.42578125" style="5" customWidth="1"/>
    <col min="2" max="2" width="3.28515625" style="5" bestFit="1" customWidth="1"/>
    <col min="3" max="3" width="33.42578125" style="5" customWidth="1"/>
    <col min="4" max="4" width="5.85546875" style="5" customWidth="1"/>
    <col min="5" max="5" width="7.42578125" style="5" customWidth="1"/>
    <col min="6" max="6" width="5.85546875" style="5" customWidth="1"/>
    <col min="7" max="7" width="19.140625" style="5" customWidth="1"/>
    <col min="8" max="8" width="3.28515625" style="5" bestFit="1" customWidth="1"/>
    <col min="9" max="9" width="32.42578125" style="5" bestFit="1" customWidth="1"/>
    <col min="10" max="25" width="11.42578125" style="5" customWidth="1"/>
    <col min="26" max="16384" width="14.42578125" style="5"/>
  </cols>
  <sheetData>
    <row r="2" spans="2:7">
      <c r="C2" s="249" t="str" cm="1">
        <f t="array" aca="1" ref="C2" ca="1">RIGHT(CELL("filename", I15), LEN(CELL("filename", I15)) - FIND("]", CELL("filename", I15)))</f>
        <v>Web Knowledge</v>
      </c>
      <c r="D2" s="228"/>
      <c r="E2" s="228"/>
      <c r="F2" s="227"/>
      <c r="G2" s="17">
        <f ca="1">VLOOKUP(C2,Master!B16:C38,2,FALSE)</f>
        <v>2</v>
      </c>
    </row>
    <row r="3" spans="2:7">
      <c r="B3" s="91" t="s">
        <v>177</v>
      </c>
      <c r="C3" s="60" t="s">
        <v>222</v>
      </c>
      <c r="D3" s="60" t="s">
        <v>228</v>
      </c>
      <c r="E3" s="60" t="s">
        <v>9</v>
      </c>
      <c r="F3" s="60" t="s">
        <v>2</v>
      </c>
      <c r="G3" s="60" t="s">
        <v>11</v>
      </c>
    </row>
    <row r="4" spans="2:7">
      <c r="B4" s="90">
        <v>1</v>
      </c>
      <c r="C4" s="87" t="s">
        <v>178</v>
      </c>
      <c r="D4" s="13">
        <f ca="1">E4/$E$8*$G$2</f>
        <v>0.5</v>
      </c>
      <c r="E4" s="86">
        <v>10</v>
      </c>
      <c r="F4" s="121">
        <v>0</v>
      </c>
      <c r="G4" s="65">
        <f ca="1">F4/4*D4</f>
        <v>0</v>
      </c>
    </row>
    <row r="5" spans="2:7" ht="15" customHeight="1">
      <c r="B5" s="90">
        <v>2</v>
      </c>
      <c r="C5" s="87" t="s">
        <v>179</v>
      </c>
      <c r="D5" s="13">
        <f t="shared" ref="D5:D7" ca="1" si="0">E5/$E$8*$G$2</f>
        <v>0.5</v>
      </c>
      <c r="E5" s="86">
        <v>10</v>
      </c>
      <c r="F5" s="121">
        <v>0</v>
      </c>
      <c r="G5" s="65">
        <f t="shared" ref="G5:G6" ca="1" si="1">F5/4*D5</f>
        <v>0</v>
      </c>
    </row>
    <row r="6" spans="2:7" ht="15" customHeight="1">
      <c r="B6" s="90">
        <v>3</v>
      </c>
      <c r="C6" s="87" t="s">
        <v>180</v>
      </c>
      <c r="D6" s="13">
        <f t="shared" ca="1" si="0"/>
        <v>0.5</v>
      </c>
      <c r="E6" s="86">
        <v>10</v>
      </c>
      <c r="F6" s="121">
        <v>0</v>
      </c>
      <c r="G6" s="65">
        <f t="shared" ca="1" si="1"/>
        <v>0</v>
      </c>
    </row>
    <row r="7" spans="2:7">
      <c r="B7" s="90">
        <v>4</v>
      </c>
      <c r="C7" s="87" t="s">
        <v>181</v>
      </c>
      <c r="D7" s="13">
        <f t="shared" ca="1" si="0"/>
        <v>0.5</v>
      </c>
      <c r="E7" s="86">
        <v>10</v>
      </c>
      <c r="F7" s="121">
        <v>0</v>
      </c>
      <c r="G7" s="65">
        <f ca="1">F7/4*D7</f>
        <v>0</v>
      </c>
    </row>
    <row r="8" spans="2:7" ht="15.75" thickBot="1">
      <c r="C8" s="61" t="s">
        <v>33</v>
      </c>
      <c r="D8" s="62">
        <f ca="1">SUM(D4:D7)</f>
        <v>2</v>
      </c>
      <c r="E8" s="62">
        <f>SUM(E4:E7)</f>
        <v>40</v>
      </c>
      <c r="F8" s="84"/>
      <c r="G8" s="83">
        <f ca="1">SUM(G4:G7)</f>
        <v>0</v>
      </c>
    </row>
    <row r="9" spans="2:7" ht="15.75" thickTop="1"/>
    <row r="10" spans="2:7" ht="15.75" customHeight="1"/>
    <row r="11" spans="2:7" ht="15.75" customHeight="1"/>
    <row r="12" spans="2:7" ht="15.75" customHeight="1"/>
    <row r="13" spans="2:7" ht="15.75" customHeight="1"/>
    <row r="14" spans="2:7" ht="15.75" customHeight="1"/>
    <row r="15" spans="2:7" ht="15.75" customHeight="1"/>
    <row r="16" spans="2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">
    <mergeCell ref="C2:F2"/>
  </mergeCells>
  <dataValidations count="1">
    <dataValidation type="decimal" allowBlank="1" showErrorMessage="1" sqref="F4:F7" xr:uid="{27814751-BB5B-4FDE-87FC-35362EA10D85}">
      <formula1>0</formula1>
      <formula2>4</formula2>
    </dataValidation>
  </dataValidations>
  <pageMargins left="0.7" right="0.7" top="0.75" bottom="0.75" header="0" footer="0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5543-D76B-44A0-9ED5-7C32C5F13B84}">
  <sheetPr>
    <tabColor rgb="FFC00000"/>
  </sheetPr>
  <dimension ref="B2:F991"/>
  <sheetViews>
    <sheetView zoomScaleNormal="100" workbookViewId="0">
      <selection activeCell="O25" sqref="O25"/>
    </sheetView>
  </sheetViews>
  <sheetFormatPr defaultColWidth="14.42578125" defaultRowHeight="15" customHeight="1"/>
  <cols>
    <col min="1" max="1" width="11.42578125" style="71" customWidth="1"/>
    <col min="2" max="2" width="33.42578125" style="71" customWidth="1"/>
    <col min="3" max="3" width="5.85546875" style="71" customWidth="1"/>
    <col min="4" max="4" width="7.42578125" style="71" customWidth="1"/>
    <col min="5" max="5" width="5.85546875" style="71" customWidth="1"/>
    <col min="6" max="6" width="19.140625" style="71" customWidth="1"/>
    <col min="7" max="8" width="13.42578125" style="71" bestFit="1" customWidth="1"/>
    <col min="9" max="26" width="11.42578125" style="71" customWidth="1"/>
    <col min="27" max="16384" width="14.42578125" style="71"/>
  </cols>
  <sheetData>
    <row r="2" spans="2:6">
      <c r="B2" s="249" t="str" cm="1">
        <f t="array" aca="1" ref="B2" ca="1">RIGHT(CELL("filename", I15), LEN(CELL("filename", I15)) - FIND("]", CELL("filename", I15)))</f>
        <v>Web Coding Skill</v>
      </c>
      <c r="C2" s="228"/>
      <c r="D2" s="228"/>
      <c r="E2" s="227"/>
      <c r="F2" s="17">
        <f ca="1">VLOOKUP(B2,Master!B16:C38,2,FALSE)</f>
        <v>1</v>
      </c>
    </row>
    <row r="3" spans="2:6">
      <c r="B3" s="60" t="s">
        <v>222</v>
      </c>
      <c r="C3" s="60" t="s">
        <v>228</v>
      </c>
      <c r="D3" s="60" t="s">
        <v>9</v>
      </c>
      <c r="E3" s="60" t="s">
        <v>2</v>
      </c>
      <c r="F3" s="60" t="s">
        <v>11</v>
      </c>
    </row>
    <row r="4" spans="2:6">
      <c r="B4" s="88" t="s">
        <v>182</v>
      </c>
      <c r="C4" s="13">
        <f ca="1">D4/$D$9*$F$2</f>
        <v>0.36363636363636365</v>
      </c>
      <c r="D4" s="89">
        <v>4</v>
      </c>
      <c r="E4" s="121">
        <v>2</v>
      </c>
      <c r="F4" s="65">
        <f ca="1">E4/4*C4</f>
        <v>0.18181818181818182</v>
      </c>
    </row>
    <row r="5" spans="2:6" ht="15" customHeight="1">
      <c r="B5" s="88" t="s">
        <v>183</v>
      </c>
      <c r="C5" s="13">
        <f ca="1">D5/$D$9*$F$2</f>
        <v>0.18181818181818182</v>
      </c>
      <c r="D5" s="89">
        <v>2</v>
      </c>
      <c r="E5" s="121">
        <v>2</v>
      </c>
      <c r="F5" s="65">
        <f t="shared" ref="F5:F6" ca="1" si="0">E5/4*C5</f>
        <v>9.0909090909090912E-2</v>
      </c>
    </row>
    <row r="6" spans="2:6" ht="15" customHeight="1">
      <c r="B6" s="88" t="s">
        <v>184</v>
      </c>
      <c r="C6" s="13">
        <f ca="1">D6/$D$9*$F$2</f>
        <v>0.18181818181818182</v>
      </c>
      <c r="D6" s="89">
        <v>2</v>
      </c>
      <c r="E6" s="121">
        <v>2</v>
      </c>
      <c r="F6" s="65">
        <f t="shared" ca="1" si="0"/>
        <v>9.0909090909090912E-2</v>
      </c>
    </row>
    <row r="7" spans="2:6">
      <c r="B7" s="158" t="s">
        <v>185</v>
      </c>
      <c r="C7" s="77">
        <f ca="1">D7/$D$9*$F$2</f>
        <v>0.18181818181818182</v>
      </c>
      <c r="D7" s="159">
        <v>2</v>
      </c>
      <c r="E7" s="143">
        <v>0</v>
      </c>
      <c r="F7" s="79">
        <f ca="1">E7/4*C7</f>
        <v>0</v>
      </c>
    </row>
    <row r="8" spans="2:6">
      <c r="B8" s="160" t="s">
        <v>369</v>
      </c>
      <c r="C8" s="161">
        <f ca="1">D8/$D$9*$F$2</f>
        <v>9.0909090909090912E-2</v>
      </c>
      <c r="D8" s="162">
        <v>1</v>
      </c>
      <c r="E8" s="164">
        <v>0</v>
      </c>
      <c r="F8" s="163">
        <f ca="1">E8/4*C8</f>
        <v>0</v>
      </c>
    </row>
    <row r="9" spans="2:6" ht="15.75" thickBot="1">
      <c r="B9" s="61" t="s">
        <v>33</v>
      </c>
      <c r="C9" s="62">
        <f ca="1">SUM(C4:C8)</f>
        <v>1</v>
      </c>
      <c r="D9" s="62">
        <f>SUM(D4:D8)</f>
        <v>11</v>
      </c>
      <c r="E9" s="84"/>
      <c r="F9" s="83">
        <f ca="1">SUM(F4:F8)</f>
        <v>0.36363636363636365</v>
      </c>
    </row>
    <row r="10" spans="2:6" ht="15.75" thickTop="1"/>
    <row r="11" spans="2:6"/>
    <row r="12" spans="2:6" ht="15.75" customHeight="1"/>
    <row r="13" spans="2:6" ht="15.75" customHeight="1"/>
    <row r="14" spans="2:6" ht="15.75" customHeight="1"/>
    <row r="15" spans="2:6" ht="15.75" customHeight="1"/>
    <row r="16" spans="2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B2:E2"/>
  </mergeCells>
  <dataValidations count="1">
    <dataValidation type="decimal" allowBlank="1" showErrorMessage="1" sqref="E4:E8" xr:uid="{00000000-0002-0000-0100-000000000000}">
      <formula1>0</formula1>
      <formula2>4</formula2>
    </dataValidation>
  </dataValidations>
  <pageMargins left="0.7" right="0.7" top="0.75" bottom="0.75" header="0" footer="0"/>
  <pageSetup paperSize="9" orientation="portrait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1952-1F73-4E27-ACC8-EEE48E294622}">
  <sheetPr>
    <tabColor rgb="FFC00000"/>
  </sheetPr>
  <dimension ref="B1:I981"/>
  <sheetViews>
    <sheetView zoomScaleNormal="100" workbookViewId="0">
      <selection activeCell="L36" sqref="L36"/>
    </sheetView>
  </sheetViews>
  <sheetFormatPr defaultColWidth="14.42578125" defaultRowHeight="15" customHeight="1"/>
  <cols>
    <col min="1" max="1" width="11.42578125" style="5" customWidth="1"/>
    <col min="2" max="2" width="3.28515625" style="5" bestFit="1" customWidth="1"/>
    <col min="3" max="3" width="33.42578125" style="5" customWidth="1"/>
    <col min="4" max="4" width="5.85546875" style="5" customWidth="1"/>
    <col min="5" max="5" width="7.42578125" style="5" customWidth="1"/>
    <col min="6" max="6" width="5.85546875" style="5" customWidth="1"/>
    <col min="7" max="7" width="19.140625" style="5" customWidth="1"/>
    <col min="8" max="8" width="13.42578125" style="5" bestFit="1" customWidth="1"/>
    <col min="9" max="9" width="30.42578125" style="5" bestFit="1" customWidth="1"/>
    <col min="10" max="25" width="11.42578125" style="5" customWidth="1"/>
    <col min="26" max="16384" width="14.42578125" style="5"/>
  </cols>
  <sheetData>
    <row r="1" spans="2:9"/>
    <row r="2" spans="2:9" ht="15.75" customHeight="1">
      <c r="C2" s="249" t="str" cm="1">
        <f t="array" aca="1" ref="C2" ca="1">RIGHT(CELL("filename", I15), LEN(CELL("filename", I15)) - FIND("]", CELL("filename", I15)))</f>
        <v>AI Knowledge</v>
      </c>
      <c r="D2" s="228"/>
      <c r="E2" s="228"/>
      <c r="F2" s="227"/>
      <c r="G2" s="17">
        <f ca="1">VLOOKUP(C2,Master!B16:C38,2,FALSE)</f>
        <v>2</v>
      </c>
    </row>
    <row r="3" spans="2:9" ht="15.75" customHeight="1">
      <c r="B3" s="91" t="s">
        <v>177</v>
      </c>
      <c r="C3" s="60" t="s">
        <v>222</v>
      </c>
      <c r="D3" s="60" t="s">
        <v>228</v>
      </c>
      <c r="E3" s="60" t="s">
        <v>9</v>
      </c>
      <c r="F3" s="60" t="s">
        <v>2</v>
      </c>
      <c r="G3" s="60" t="s">
        <v>11</v>
      </c>
    </row>
    <row r="4" spans="2:9" ht="15.75" customHeight="1">
      <c r="B4" s="90">
        <v>1</v>
      </c>
      <c r="C4" s="88" t="s">
        <v>186</v>
      </c>
      <c r="D4" s="13">
        <f ca="1">E4/$E$8*$G$2</f>
        <v>0.5</v>
      </c>
      <c r="E4" s="86">
        <v>1</v>
      </c>
      <c r="F4" s="121">
        <v>0</v>
      </c>
      <c r="G4" s="65">
        <f ca="1">F4/4*D4</f>
        <v>0</v>
      </c>
      <c r="I4"/>
    </row>
    <row r="5" spans="2:9" ht="15.75" customHeight="1">
      <c r="B5" s="90">
        <v>2</v>
      </c>
      <c r="C5" s="88" t="s">
        <v>187</v>
      </c>
      <c r="D5" s="13">
        <f t="shared" ref="D5:D7" ca="1" si="0">E5/$E$8*$G$2</f>
        <v>0.5</v>
      </c>
      <c r="E5" s="86">
        <v>1</v>
      </c>
      <c r="F5" s="121">
        <v>0</v>
      </c>
      <c r="G5" s="65">
        <f t="shared" ref="G5:G6" ca="1" si="1">F5/4*D5</f>
        <v>0</v>
      </c>
    </row>
    <row r="6" spans="2:9" ht="15.75" customHeight="1">
      <c r="B6" s="90">
        <v>3</v>
      </c>
      <c r="C6" s="88" t="s">
        <v>188</v>
      </c>
      <c r="D6" s="13">
        <f t="shared" ca="1" si="0"/>
        <v>0.5</v>
      </c>
      <c r="E6" s="86">
        <v>1</v>
      </c>
      <c r="F6" s="121">
        <v>0</v>
      </c>
      <c r="G6" s="65">
        <f t="shared" ca="1" si="1"/>
        <v>0</v>
      </c>
    </row>
    <row r="7" spans="2:9" ht="15.75" customHeight="1">
      <c r="B7" s="90">
        <v>4</v>
      </c>
      <c r="C7" s="88" t="s">
        <v>189</v>
      </c>
      <c r="D7" s="13">
        <f t="shared" ca="1" si="0"/>
        <v>0.5</v>
      </c>
      <c r="E7" s="86">
        <v>1</v>
      </c>
      <c r="F7" s="121">
        <v>0</v>
      </c>
      <c r="G7" s="65">
        <f ca="1">F7/4*D7</f>
        <v>0</v>
      </c>
    </row>
    <row r="8" spans="2:9" ht="15.75" customHeight="1" thickBot="1">
      <c r="C8" s="61" t="s">
        <v>33</v>
      </c>
      <c r="D8" s="62">
        <f ca="1">SUM(D4:D7)</f>
        <v>2</v>
      </c>
      <c r="E8" s="62">
        <f>SUM(E4:E7)</f>
        <v>4</v>
      </c>
      <c r="F8" s="84"/>
      <c r="G8" s="83">
        <f ca="1">SUM(G4:G7)</f>
        <v>0</v>
      </c>
    </row>
    <row r="9" spans="2:9" ht="15.75" customHeight="1" thickTop="1"/>
    <row r="10" spans="2:9" ht="15.75" customHeight="1"/>
    <row r="11" spans="2:9" ht="15.75" customHeight="1"/>
    <row r="12" spans="2:9" ht="15.75" customHeight="1"/>
    <row r="13" spans="2:9" ht="15.75" customHeight="1"/>
    <row r="14" spans="2:9" ht="15.75" customHeight="1"/>
    <row r="15" spans="2:9" ht="15.75" customHeight="1"/>
    <row r="16" spans="2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">
    <mergeCell ref="C2:F2"/>
  </mergeCells>
  <phoneticPr fontId="12" type="noConversion"/>
  <dataValidations count="1">
    <dataValidation type="decimal" allowBlank="1" showErrorMessage="1" sqref="F4:F7" xr:uid="{11C6D28A-8CBC-47F9-BD70-A8F027CF68AE}">
      <formula1>0</formula1>
      <formula2>4</formula2>
    </dataValidation>
  </dataValidations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9926-C40B-40F2-93E8-E694188E9D86}">
  <sheetPr>
    <tabColor rgb="FFC00000"/>
  </sheetPr>
  <dimension ref="B2:L988"/>
  <sheetViews>
    <sheetView zoomScaleNormal="100" workbookViewId="0">
      <selection activeCell="M20" sqref="M20"/>
    </sheetView>
  </sheetViews>
  <sheetFormatPr defaultColWidth="14.42578125" defaultRowHeight="15" customHeight="1"/>
  <cols>
    <col min="1" max="1" width="11.42578125" style="5" customWidth="1"/>
    <col min="2" max="2" width="33.42578125" style="5" customWidth="1"/>
    <col min="3" max="3" width="5.85546875" style="5" customWidth="1"/>
    <col min="4" max="4" width="7.42578125" style="5" customWidth="1"/>
    <col min="5" max="5" width="5.85546875" style="5" customWidth="1"/>
    <col min="6" max="6" width="19.140625" style="5" customWidth="1"/>
    <col min="7" max="7" width="7.42578125" style="5" customWidth="1"/>
    <col min="8" max="8" width="12" style="5" bestFit="1" customWidth="1"/>
    <col min="9" max="9" width="9.85546875" style="5" bestFit="1" customWidth="1"/>
    <col min="10" max="10" width="7.42578125" style="5" customWidth="1"/>
    <col min="11" max="26" width="11.42578125" style="5" customWidth="1"/>
    <col min="27" max="16384" width="14.42578125" style="5"/>
  </cols>
  <sheetData>
    <row r="2" spans="2:12">
      <c r="B2" s="249" t="str" cm="1">
        <f t="array" aca="1" ref="B2" ca="1">RIGHT(CELL("filename", I24), LEN(CELL("filename", I24)) - FIND("]", CELL("filename", I24)))</f>
        <v>Live Coding</v>
      </c>
      <c r="C2" s="228"/>
      <c r="D2" s="228"/>
      <c r="E2" s="227"/>
      <c r="F2" s="17">
        <f ca="1">VLOOKUP(B2,Master!B16:C38,2,FALSE)</f>
        <v>2</v>
      </c>
      <c r="K2" s="1" t="s">
        <v>190</v>
      </c>
      <c r="L2" s="1" t="s">
        <v>191</v>
      </c>
    </row>
    <row r="3" spans="2:12">
      <c r="B3" s="60" t="s">
        <v>222</v>
      </c>
      <c r="C3" s="60" t="s">
        <v>228</v>
      </c>
      <c r="D3" s="60" t="s">
        <v>9</v>
      </c>
      <c r="E3" s="60" t="s">
        <v>2</v>
      </c>
      <c r="F3" s="60" t="s">
        <v>11</v>
      </c>
      <c r="H3" s="92" t="s">
        <v>190</v>
      </c>
      <c r="I3" s="94" t="s">
        <v>190</v>
      </c>
      <c r="K3" s="2">
        <v>1</v>
      </c>
      <c r="L3" s="2" t="s">
        <v>192</v>
      </c>
    </row>
    <row r="4" spans="2:12">
      <c r="B4" s="88" t="s">
        <v>194</v>
      </c>
      <c r="C4" s="13">
        <f ca="1">D4/$D$5*$F$2</f>
        <v>2</v>
      </c>
      <c r="D4" s="90">
        <v>1</v>
      </c>
      <c r="E4" s="121">
        <v>4</v>
      </c>
      <c r="F4" s="65">
        <f ca="1">E4/4*C4</f>
        <v>2</v>
      </c>
      <c r="H4" s="93">
        <v>1</v>
      </c>
      <c r="I4" s="95" t="str">
        <f>VLOOKUP(H4,K3:L4,2)</f>
        <v>Frontend</v>
      </c>
      <c r="K4" s="2">
        <v>2</v>
      </c>
      <c r="L4" s="2" t="s">
        <v>193</v>
      </c>
    </row>
    <row r="5" spans="2:12" ht="15" customHeight="1" thickBot="1">
      <c r="B5" s="61" t="s">
        <v>33</v>
      </c>
      <c r="C5" s="62">
        <f ca="1">SUM(C4:C4)</f>
        <v>2</v>
      </c>
      <c r="D5" s="62">
        <f>SUM(D4:D4)</f>
        <v>1</v>
      </c>
      <c r="E5" s="84"/>
      <c r="F5" s="83">
        <f ca="1">SUM(F4:F4)</f>
        <v>2</v>
      </c>
    </row>
    <row r="6" spans="2:12" ht="15" customHeight="1" thickTop="1"/>
    <row r="7" spans="2:12"/>
    <row r="8" spans="2:12"/>
    <row r="9" spans="2:12" ht="15.75" customHeight="1"/>
    <row r="10" spans="2:12" ht="15.75" customHeight="1"/>
    <row r="11" spans="2:12" ht="15.75" customHeight="1"/>
    <row r="12" spans="2:12" ht="15.75" customHeight="1"/>
    <row r="13" spans="2:12" ht="15.75" customHeight="1"/>
    <row r="14" spans="2:12" ht="15.75" customHeight="1"/>
    <row r="15" spans="2:12" ht="15.75" customHeight="1"/>
    <row r="16" spans="2:1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B2:E2"/>
  </mergeCells>
  <dataValidations count="1">
    <dataValidation type="decimal" allowBlank="1" showErrorMessage="1" sqref="E4" xr:uid="{92475DD3-B5FA-4B26-9F15-7C86450D460D}">
      <formula1>0</formula1>
      <formula2>4</formula2>
    </dataValidation>
  </dataValidations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B14972BA45BD47B3B120E9D54CA4F5" ma:contentTypeVersion="14" ma:contentTypeDescription="Create a new document." ma:contentTypeScope="" ma:versionID="963cb8e90fbbfbeff11449c8f5b5d6a2">
  <xsd:schema xmlns:xsd="http://www.w3.org/2001/XMLSchema" xmlns:xs="http://www.w3.org/2001/XMLSchema" xmlns:p="http://schemas.microsoft.com/office/2006/metadata/properties" xmlns:ns2="06dd7198-9f69-4b52-9ad8-623c9ba944b5" xmlns:ns3="1f003750-f5da-409e-99e6-8ff9bea2e38b" targetNamespace="http://schemas.microsoft.com/office/2006/metadata/properties" ma:root="true" ma:fieldsID="00d017da2f2f45f0e915bbc40802062a" ns2:_="" ns3:_="">
    <xsd:import namespace="06dd7198-9f69-4b52-9ad8-623c9ba944b5"/>
    <xsd:import namespace="1f003750-f5da-409e-99e6-8ff9bea2e38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dd7198-9f69-4b52-9ad8-623c9ba944b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003750-f5da-409e-99e6-8ff9bea2e3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2802744-7fd5-42e0-b4ac-2f85b671ef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D307F7-CC51-4BD0-B56F-FB66ABC7A4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798FC3-3EF8-485C-8CA8-D899DEC40D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dd7198-9f69-4b52-9ad8-623c9ba944b5"/>
    <ds:schemaRef ds:uri="1f003750-f5da-409e-99e6-8ff9bea2e3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Result</vt:lpstr>
      <vt:lpstr>Master</vt:lpstr>
      <vt:lpstr>AI Groups</vt:lpstr>
      <vt:lpstr>General</vt:lpstr>
      <vt:lpstr>Components</vt:lpstr>
      <vt:lpstr>Sign Up Page</vt:lpstr>
      <vt:lpstr>Login Page</vt:lpstr>
      <vt:lpstr>Reset Password Page</vt:lpstr>
      <vt:lpstr>For You Page</vt:lpstr>
      <vt:lpstr>Following Page</vt:lpstr>
      <vt:lpstr>Friends Page</vt:lpstr>
      <vt:lpstr>Profile Page</vt:lpstr>
      <vt:lpstr>Create Playlist Page</vt:lpstr>
      <vt:lpstr>Search Page</vt:lpstr>
      <vt:lpstr>Rich Text</vt:lpstr>
      <vt:lpstr>Settings Page</vt:lpstr>
      <vt:lpstr>Advertisement</vt:lpstr>
      <vt:lpstr>Studio Upload Page</vt:lpstr>
      <vt:lpstr>Studio Post Page</vt:lpstr>
      <vt:lpstr>Chat Page</vt:lpstr>
      <vt:lpstr>Live</vt:lpstr>
      <vt:lpstr>AI Var 1 - SVilter</vt:lpstr>
      <vt:lpstr>AI Var 2 - SVign</vt:lpstr>
      <vt:lpstr>AI Var 3 - SaVe</vt:lpstr>
      <vt:lpstr>AI Var 4 - ShaVam</vt:lpstr>
      <vt:lpstr>AI Var 5 - SVideo Captions</vt:lpstr>
      <vt:lpstr>Web Knowledge</vt:lpstr>
      <vt:lpstr>Web Coding Skill</vt:lpstr>
      <vt:lpstr>AI Knowledge</vt:lpstr>
      <vt:lpstr>Live Coding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Tanjaya</dc:creator>
  <cp:keywords/>
  <dc:description/>
  <cp:lastModifiedBy>Kennedy Surianto</cp:lastModifiedBy>
  <cp:revision/>
  <dcterms:created xsi:type="dcterms:W3CDTF">2015-06-05T18:17:20Z</dcterms:created>
  <dcterms:modified xsi:type="dcterms:W3CDTF">2025-07-04T08:41:57Z</dcterms:modified>
  <cp:category/>
  <cp:contentStatus/>
</cp:coreProperties>
</file>